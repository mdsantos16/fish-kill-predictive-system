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R\Downloads\milkha\Special Problem\"/>
    </mc:Choice>
  </mc:AlternateContent>
  <xr:revisionPtr revIDLastSave="0" documentId="13_ncr:1_{E99C5804-F05F-44B7-8BBA-3A35ECF6E060}" xr6:coauthVersionLast="47" xr6:coauthVersionMax="47" xr10:uidLastSave="{00000000-0000-0000-0000-000000000000}"/>
  <bookViews>
    <workbookView xWindow="0" yWindow="360" windowWidth="21795" windowHeight="12975" tabRatio="657" xr2:uid="{55903398-3DBE-4585-A619-93EAD0D843F5}"/>
  </bookViews>
  <sheets>
    <sheet name="8 Variables" sheetId="5" r:id="rId1"/>
    <sheet name="7 Variables" sheetId="6" r:id="rId2"/>
    <sheet name="6 Variables" sheetId="7" r:id="rId3"/>
    <sheet name="5 Variables" sheetId="8" r:id="rId4"/>
    <sheet name="4 Variables" sheetId="9" r:id="rId5"/>
    <sheet name="3 Variables" sheetId="10" r:id="rId6"/>
    <sheet name="2 Variables" sheetId="11" r:id="rId7"/>
    <sheet name="Model" sheetId="3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77" i="3" l="1"/>
  <c r="F98" i="3"/>
  <c r="H98" i="3" s="1"/>
  <c r="F97" i="3"/>
  <c r="H97" i="3" s="1"/>
  <c r="E22" i="11"/>
  <c r="E20" i="11"/>
  <c r="E18" i="11"/>
  <c r="E16" i="11"/>
  <c r="E14" i="11"/>
  <c r="E12" i="11"/>
  <c r="E10" i="11"/>
  <c r="E8" i="11"/>
  <c r="F84" i="3"/>
  <c r="H84" i="3" s="1"/>
  <c r="F83" i="3"/>
  <c r="H83" i="3" s="1"/>
  <c r="F82" i="3"/>
  <c r="H82" i="3" s="1"/>
  <c r="E22" i="10"/>
  <c r="E20" i="10"/>
  <c r="E18" i="10"/>
  <c r="E16" i="10"/>
  <c r="E14" i="10"/>
  <c r="E12" i="10"/>
  <c r="E10" i="10"/>
  <c r="E8" i="10"/>
  <c r="F70" i="3"/>
  <c r="F69" i="3"/>
  <c r="H69" i="3" s="1"/>
  <c r="F68" i="3"/>
  <c r="H68" i="3" s="1"/>
  <c r="F67" i="3"/>
  <c r="H67" i="3" s="1"/>
  <c r="E22" i="9"/>
  <c r="E20" i="9"/>
  <c r="E18" i="9"/>
  <c r="E16" i="9"/>
  <c r="E14" i="9"/>
  <c r="E12" i="9"/>
  <c r="E10" i="9"/>
  <c r="E8" i="9"/>
  <c r="H70" i="3"/>
  <c r="F56" i="3"/>
  <c r="H56" i="3" s="1"/>
  <c r="F55" i="3"/>
  <c r="H55" i="3" s="1"/>
  <c r="F54" i="3"/>
  <c r="H54" i="3" s="1"/>
  <c r="F53" i="3"/>
  <c r="H53" i="3" s="1"/>
  <c r="F52" i="3"/>
  <c r="H52" i="3" s="1"/>
  <c r="E22" i="8"/>
  <c r="E20" i="8"/>
  <c r="E18" i="8"/>
  <c r="E16" i="8"/>
  <c r="E14" i="8"/>
  <c r="E12" i="8"/>
  <c r="E10" i="8"/>
  <c r="E8" i="8"/>
  <c r="F42" i="3"/>
  <c r="H42" i="3" s="1"/>
  <c r="F41" i="3"/>
  <c r="F40" i="3"/>
  <c r="F39" i="3"/>
  <c r="H39" i="3" s="1"/>
  <c r="F38" i="3"/>
  <c r="H38" i="3" s="1"/>
  <c r="F37" i="3"/>
  <c r="H37" i="3" s="1"/>
  <c r="E22" i="7"/>
  <c r="E20" i="7"/>
  <c r="E18" i="7"/>
  <c r="E16" i="7"/>
  <c r="E14" i="7"/>
  <c r="E12" i="7"/>
  <c r="E10" i="7"/>
  <c r="E8" i="7"/>
  <c r="F28" i="3"/>
  <c r="H28" i="3" s="1"/>
  <c r="F27" i="3"/>
  <c r="H27" i="3" s="1"/>
  <c r="F26" i="3"/>
  <c r="F25" i="3"/>
  <c r="H25" i="3" s="1"/>
  <c r="F24" i="3"/>
  <c r="H24" i="3" s="1"/>
  <c r="F23" i="3"/>
  <c r="H23" i="3" s="1"/>
  <c r="F22" i="3"/>
  <c r="F8" i="3"/>
  <c r="H8" i="3" s="1"/>
  <c r="H7" i="3"/>
  <c r="E22" i="6"/>
  <c r="E20" i="6"/>
  <c r="E18" i="6"/>
  <c r="E16" i="6"/>
  <c r="E14" i="6"/>
  <c r="E12" i="6"/>
  <c r="E10" i="6"/>
  <c r="E8" i="6"/>
  <c r="F14" i="3"/>
  <c r="H14" i="3" s="1"/>
  <c r="F13" i="3"/>
  <c r="H13" i="3" s="1"/>
  <c r="F12" i="3"/>
  <c r="H12" i="3" s="1"/>
  <c r="F11" i="3"/>
  <c r="H11" i="3" s="1"/>
  <c r="F10" i="3"/>
  <c r="H10" i="3" s="1"/>
  <c r="F9" i="3"/>
  <c r="H9" i="3" s="1"/>
  <c r="F7" i="3"/>
  <c r="E22" i="5"/>
  <c r="E20" i="5"/>
  <c r="E18" i="5"/>
  <c r="E16" i="5"/>
  <c r="E14" i="5"/>
  <c r="E12" i="5"/>
  <c r="E10" i="5"/>
  <c r="E8" i="5"/>
  <c r="H41" i="3" l="1"/>
  <c r="H40" i="3"/>
  <c r="H22" i="3"/>
  <c r="H26" i="3"/>
  <c r="H32" i="3"/>
  <c r="H107" i="3"/>
  <c r="H92" i="3"/>
  <c r="H62" i="3"/>
  <c r="H17" i="3"/>
  <c r="H47" i="3" l="1"/>
</calcChain>
</file>

<file path=xl/sharedStrings.xml><?xml version="1.0" encoding="utf-8"?>
<sst xmlns="http://schemas.openxmlformats.org/spreadsheetml/2006/main" count="245" uniqueCount="34">
  <si>
    <t>Water Quality Variable</t>
  </si>
  <si>
    <t>Dissolved Oxygen</t>
  </si>
  <si>
    <t>pH</t>
  </si>
  <si>
    <t>Nitrate</t>
  </si>
  <si>
    <t>Probability</t>
  </si>
  <si>
    <t>Intercept</t>
  </si>
  <si>
    <t>Temperature</t>
  </si>
  <si>
    <t>Total Dissolved Solids</t>
  </si>
  <si>
    <t>Conductivity</t>
  </si>
  <si>
    <t>Salinity</t>
  </si>
  <si>
    <t>Turbidity</t>
  </si>
  <si>
    <t>Coefficient</t>
  </si>
  <si>
    <t>Mean</t>
  </si>
  <si>
    <t>Standard Deviation</t>
  </si>
  <si>
    <t>Standardized</t>
  </si>
  <si>
    <t>Unit</t>
  </si>
  <si>
    <t>Quantity</t>
  </si>
  <si>
    <t>°C</t>
  </si>
  <si>
    <t>mg/L</t>
  </si>
  <si>
    <t>ppt</t>
  </si>
  <si>
    <t>μS/cm</t>
  </si>
  <si>
    <t>NTU</t>
  </si>
  <si>
    <t>Fish Kill Warning System</t>
  </si>
  <si>
    <t>β_i*Standardized</t>
  </si>
  <si>
    <t>Total</t>
  </si>
  <si>
    <t>Prediction</t>
  </si>
  <si>
    <t>8 Predictors</t>
  </si>
  <si>
    <t>7 Predictors</t>
  </si>
  <si>
    <t>6 Predictors</t>
  </si>
  <si>
    <t>5 Predictors</t>
  </si>
  <si>
    <t>4 Predictors</t>
  </si>
  <si>
    <t>3 Predictors</t>
  </si>
  <si>
    <t>2 Predictors</t>
  </si>
  <si>
    <t>FISH KILL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</si>
</sst>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Arial"/>
      <family val="2"/>
    </font>
    <font>
      <sz val="14"/>
      <color theme="0"/>
      <name val="Arial"/>
      <family val="2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rgb="FFA80000"/>
      <name val="Calibri"/>
      <family val="2"/>
      <scheme val="minor"/>
    </font>
    <font>
      <b/>
      <sz val="24"/>
      <color theme="1"/>
      <name val="Arial"/>
      <family val="2"/>
    </font>
    <font>
      <b/>
      <sz val="30"/>
      <color theme="1"/>
      <name val="Arial"/>
      <family val="2"/>
    </font>
    <font>
      <sz val="20"/>
      <color theme="1"/>
      <name val="Arial"/>
      <family val="2"/>
    </font>
    <font>
      <sz val="20"/>
      <color theme="1"/>
      <name val="Calibri"/>
      <family val="2"/>
      <scheme val="minor"/>
    </font>
    <font>
      <b/>
      <sz val="20"/>
      <color rgb="FF000000"/>
      <name val="Arial"/>
      <family val="2"/>
    </font>
    <font>
      <sz val="20"/>
      <color theme="0"/>
      <name val="Arial"/>
      <family val="2"/>
    </font>
    <font>
      <i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2" borderId="4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3" borderId="1" xfId="0" applyFill="1" applyBorder="1"/>
    <xf numFmtId="0" fontId="0" fillId="3" borderId="8" xfId="0" applyFill="1" applyBorder="1"/>
    <xf numFmtId="0" fontId="0" fillId="3" borderId="3" xfId="0" applyFill="1" applyBorder="1"/>
    <xf numFmtId="0" fontId="0" fillId="0" borderId="3" xfId="0" applyBorder="1"/>
    <xf numFmtId="0" fontId="0" fillId="0" borderId="1" xfId="0" applyBorder="1"/>
    <xf numFmtId="0" fontId="0" fillId="0" borderId="8" xfId="0" applyBorder="1"/>
    <xf numFmtId="0" fontId="0" fillId="0" borderId="7" xfId="0" applyBorder="1"/>
    <xf numFmtId="0" fontId="0" fillId="2" borderId="0" xfId="0" applyFill="1"/>
    <xf numFmtId="0" fontId="0" fillId="3" borderId="8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4" xfId="0" applyBorder="1"/>
    <xf numFmtId="0" fontId="0" fillId="0" borderId="9" xfId="0" applyBorder="1"/>
    <xf numFmtId="0" fontId="0" fillId="0" borderId="12" xfId="0" applyBorder="1"/>
    <xf numFmtId="0" fontId="0" fillId="0" borderId="6" xfId="0" applyBorder="1"/>
    <xf numFmtId="0" fontId="0" fillId="2" borderId="6" xfId="0" applyFill="1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0" fillId="0" borderId="5" xfId="0" applyBorder="1"/>
    <xf numFmtId="0" fontId="0" fillId="0" borderId="2" xfId="0" applyBorder="1"/>
    <xf numFmtId="0" fontId="3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10" fillId="0" borderId="0" xfId="0" applyFont="1"/>
    <xf numFmtId="0" fontId="9" fillId="0" borderId="0" xfId="0" applyFont="1"/>
    <xf numFmtId="0" fontId="10" fillId="0" borderId="0" xfId="0" applyFont="1" applyAlignment="1">
      <alignment horizontal="left"/>
    </xf>
    <xf numFmtId="0" fontId="9" fillId="5" borderId="6" xfId="0" applyFont="1" applyFill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indent="1"/>
    </xf>
    <xf numFmtId="0" fontId="9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1" fillId="6" borderId="0" xfId="0" applyFont="1" applyFill="1" applyAlignment="1">
      <alignment horizontal="center"/>
    </xf>
    <xf numFmtId="0" fontId="12" fillId="3" borderId="0" xfId="0" applyFont="1" applyFill="1" applyAlignment="1">
      <alignment horizontal="right" vertical="center" indent="1"/>
    </xf>
    <xf numFmtId="0" fontId="13" fillId="3" borderId="0" xfId="0" applyFont="1" applyFill="1" applyAlignment="1">
      <alignment horizontal="left" vertical="center"/>
    </xf>
    <xf numFmtId="0" fontId="12" fillId="3" borderId="0" xfId="0" applyFont="1" applyFill="1" applyAlignment="1">
      <alignment horizontal="left" vertical="center"/>
    </xf>
    <xf numFmtId="0" fontId="12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right"/>
    </xf>
    <xf numFmtId="0" fontId="14" fillId="3" borderId="0" xfId="0" applyFont="1" applyFill="1" applyAlignment="1">
      <alignment horizontal="left" vertical="center"/>
    </xf>
    <xf numFmtId="0" fontId="8" fillId="4" borderId="0" xfId="0" applyFont="1" applyFill="1" applyAlignment="1">
      <alignment horizontal="center" vertical="center"/>
    </xf>
    <xf numFmtId="0" fontId="9" fillId="0" borderId="0" xfId="0" applyFont="1" applyAlignment="1">
      <alignment horizontal="right"/>
    </xf>
    <xf numFmtId="0" fontId="7" fillId="0" borderId="0" xfId="0" applyFont="1" applyAlignment="1">
      <alignment horizontal="center" vertical="center"/>
    </xf>
  </cellXfs>
  <cellStyles count="1">
    <cellStyle name="Normal" xfId="0" builtinId="0"/>
  </cellStyles>
  <dxfs count="25">
    <dxf>
      <fill>
        <patternFill>
          <bgColor rgb="FFC80000"/>
        </patternFill>
      </fill>
    </dxf>
    <dxf>
      <fill>
        <patternFill>
          <bgColor theme="9" tint="0.39994506668294322"/>
        </patternFill>
      </fill>
    </dxf>
    <dxf>
      <fill>
        <patternFill>
          <bgColor rgb="FFC80000"/>
        </patternFill>
      </fill>
    </dxf>
    <dxf>
      <fill>
        <patternFill>
          <bgColor theme="9" tint="0.39994506668294322"/>
        </patternFill>
      </fill>
    </dxf>
    <dxf>
      <fill>
        <patternFill>
          <bgColor rgb="FFC80000"/>
        </patternFill>
      </fill>
    </dxf>
    <dxf>
      <fill>
        <patternFill>
          <bgColor theme="9" tint="0.39994506668294322"/>
        </patternFill>
      </fill>
    </dxf>
    <dxf>
      <fill>
        <patternFill>
          <bgColor rgb="FFC80000"/>
        </patternFill>
      </fill>
    </dxf>
    <dxf>
      <fill>
        <patternFill>
          <bgColor theme="9" tint="0.39994506668294322"/>
        </patternFill>
      </fill>
    </dxf>
    <dxf>
      <fill>
        <patternFill>
          <bgColor rgb="FFC80000"/>
        </patternFill>
      </fill>
    </dxf>
    <dxf>
      <fill>
        <patternFill>
          <bgColor theme="9" tint="0.39994506668294322"/>
        </patternFill>
      </fill>
    </dxf>
    <dxf>
      <fill>
        <patternFill>
          <bgColor rgb="FFC80000"/>
        </patternFill>
      </fill>
    </dxf>
    <dxf>
      <fill>
        <patternFill>
          <bgColor theme="9" tint="0.39994506668294322"/>
        </patternFill>
      </fill>
    </dxf>
    <dxf>
      <fill>
        <patternFill>
          <bgColor rgb="FFC80000"/>
        </patternFill>
      </fill>
    </dxf>
    <dxf>
      <fill>
        <patternFill>
          <bgColor theme="9" tint="0.39994506668294322"/>
        </patternFill>
      </fill>
    </dxf>
    <dxf>
      <fill>
        <patternFill>
          <bgColor rgb="FFC80000"/>
        </patternFill>
      </fill>
    </dxf>
    <dxf>
      <fill>
        <patternFill>
          <bgColor theme="9" tint="0.39994506668294322"/>
        </patternFill>
      </fill>
    </dxf>
    <dxf>
      <fill>
        <patternFill>
          <bgColor rgb="FFC80000"/>
        </patternFill>
      </fill>
    </dxf>
    <dxf>
      <fill>
        <patternFill>
          <bgColor theme="9" tint="0.39994506668294322"/>
        </patternFill>
      </fill>
    </dxf>
    <dxf>
      <fill>
        <patternFill>
          <bgColor rgb="FFC80000"/>
        </patternFill>
      </fill>
    </dxf>
    <dxf>
      <fill>
        <patternFill>
          <bgColor theme="9" tint="0.39994506668294322"/>
        </patternFill>
      </fill>
    </dxf>
    <dxf>
      <fill>
        <patternFill>
          <bgColor rgb="FFC8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CC3300"/>
        </patternFill>
      </fill>
    </dxf>
    <dxf>
      <fill>
        <patternFill>
          <bgColor rgb="FFC80000"/>
        </patternFill>
      </fill>
    </dxf>
  </dxfs>
  <tableStyles count="0" defaultTableStyle="TableStyleMedium2" defaultPivotStyle="PivotStyleLight16"/>
  <colors>
    <mruColors>
      <color rgb="FFCC3300"/>
      <color rgb="FFC80000"/>
      <color rgb="FFA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963432</xdr:colOff>
      <xdr:row>2</xdr:row>
      <xdr:rowOff>82163</xdr:rowOff>
    </xdr:from>
    <xdr:to>
      <xdr:col>5</xdr:col>
      <xdr:colOff>1448127</xdr:colOff>
      <xdr:row>3</xdr:row>
      <xdr:rowOff>294408</xdr:rowOff>
    </xdr:to>
    <xdr:pic>
      <xdr:nvPicPr>
        <xdr:cNvPr id="2" name="Picture 1" descr="1,980,836 Warning Sign Royalty-Free Images, Stock Photos &amp; Pictures |  Shutterstock">
          <a:extLst>
            <a:ext uri="{FF2B5EF4-FFF2-40B4-BE49-F238E27FC236}">
              <a16:creationId xmlns:a16="http://schemas.microsoft.com/office/drawing/2014/main" id="{9DC28A94-E07F-4066-967E-FD862B55554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4750" b="79625" l="10467" r="88667">
                      <a14:foregroundMark x1="48600" y1="17188" x2="28867" y2="50625"/>
                      <a14:foregroundMark x1="36267" y1="35063" x2="22933" y2="56188"/>
                      <a14:foregroundMark x1="20067" y1="59500" x2="19533" y2="61625"/>
                      <a14:foregroundMark x1="22267" y1="56938" x2="13800" y2="72813"/>
                      <a14:foregroundMark x1="13133" y1="69750" x2="23067" y2="75063"/>
                      <a14:foregroundMark x1="10533" y1="71750" x2="23467" y2="73938"/>
                      <a14:foregroundMark x1="13267" y1="72625" x2="44733" y2="73938"/>
                      <a14:foregroundMark x1="12867" y1="72063" x2="55600" y2="76188"/>
                      <a14:foregroundMark x1="14200" y1="75500" x2="60467" y2="74938"/>
                      <a14:foregroundMark x1="13800" y1="77375" x2="61667" y2="76625"/>
                      <a14:foregroundMark x1="84667" y1="65750" x2="83733" y2="79625"/>
                      <a14:foregroundMark x1="84933" y1="68063" x2="88667" y2="76938"/>
                      <a14:foregroundMark x1="57333" y1="20313" x2="57067" y2="18188"/>
                      <a14:foregroundMark x1="55333" y1="15875" x2="45667" y2="15875"/>
                      <a14:foregroundMark x1="51133" y1="15750" x2="52533" y2="14750"/>
                      <a14:foregroundMark x1="49400" y1="41313" x2="49267" y2="6106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498" t="9488" r="7582" b="17457"/>
        <a:stretch>
          <a:fillRect/>
        </a:stretch>
      </xdr:blipFill>
      <xdr:spPr bwMode="auto">
        <a:xfrm>
          <a:off x="6643796" y="367914"/>
          <a:ext cx="484695" cy="394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71438</xdr:rowOff>
        </xdr:from>
        <xdr:to>
          <xdr:col>3</xdr:col>
          <xdr:colOff>1738313</xdr:colOff>
          <xdr:row>25</xdr:row>
          <xdr:rowOff>147638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68580" rIns="82296" bIns="6858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963432</xdr:colOff>
      <xdr:row>2</xdr:row>
      <xdr:rowOff>82163</xdr:rowOff>
    </xdr:from>
    <xdr:to>
      <xdr:col>5</xdr:col>
      <xdr:colOff>1448127</xdr:colOff>
      <xdr:row>3</xdr:row>
      <xdr:rowOff>294408</xdr:rowOff>
    </xdr:to>
    <xdr:pic>
      <xdr:nvPicPr>
        <xdr:cNvPr id="2" name="Picture 1" descr="1,980,836 Warning Sign Royalty-Free Images, Stock Photos &amp; Pictures |  Shutterstock">
          <a:extLst>
            <a:ext uri="{FF2B5EF4-FFF2-40B4-BE49-F238E27FC236}">
              <a16:creationId xmlns:a16="http://schemas.microsoft.com/office/drawing/2014/main" id="{FE97D00C-E614-4512-AAE4-4C4BC17C7CF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4750" b="79625" l="10467" r="88667">
                      <a14:foregroundMark x1="48600" y1="17188" x2="28867" y2="50625"/>
                      <a14:foregroundMark x1="36267" y1="35063" x2="22933" y2="56188"/>
                      <a14:foregroundMark x1="20067" y1="59500" x2="19533" y2="61625"/>
                      <a14:foregroundMark x1="22267" y1="56938" x2="13800" y2="72813"/>
                      <a14:foregroundMark x1="13133" y1="69750" x2="23067" y2="75063"/>
                      <a14:foregroundMark x1="10533" y1="71750" x2="23467" y2="73938"/>
                      <a14:foregroundMark x1="13267" y1="72625" x2="44733" y2="73938"/>
                      <a14:foregroundMark x1="12867" y1="72063" x2="55600" y2="76188"/>
                      <a14:foregroundMark x1="14200" y1="75500" x2="60467" y2="74938"/>
                      <a14:foregroundMark x1="13800" y1="77375" x2="61667" y2="76625"/>
                      <a14:foregroundMark x1="84667" y1="65750" x2="83733" y2="79625"/>
                      <a14:foregroundMark x1="84933" y1="68063" x2="88667" y2="76938"/>
                      <a14:foregroundMark x1="57333" y1="20313" x2="57067" y2="18188"/>
                      <a14:foregroundMark x1="55333" y1="15875" x2="45667" y2="15875"/>
                      <a14:foregroundMark x1="51133" y1="15750" x2="52533" y2="14750"/>
                      <a14:foregroundMark x1="49400" y1="41313" x2="49267" y2="6106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498" t="9488" r="7582" b="17457"/>
        <a:stretch>
          <a:fillRect/>
        </a:stretch>
      </xdr:blipFill>
      <xdr:spPr bwMode="auto">
        <a:xfrm>
          <a:off x="7149920" y="363151"/>
          <a:ext cx="484695" cy="393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71438</xdr:rowOff>
        </xdr:from>
        <xdr:to>
          <xdr:col>3</xdr:col>
          <xdr:colOff>1738313</xdr:colOff>
          <xdr:row>25</xdr:row>
          <xdr:rowOff>147638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68580" rIns="82296" bIns="6858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963432</xdr:colOff>
      <xdr:row>2</xdr:row>
      <xdr:rowOff>82163</xdr:rowOff>
    </xdr:from>
    <xdr:to>
      <xdr:col>5</xdr:col>
      <xdr:colOff>1448127</xdr:colOff>
      <xdr:row>3</xdr:row>
      <xdr:rowOff>294408</xdr:rowOff>
    </xdr:to>
    <xdr:pic>
      <xdr:nvPicPr>
        <xdr:cNvPr id="2" name="Picture 1" descr="1,980,836 Warning Sign Royalty-Free Images, Stock Photos &amp; Pictures |  Shutterstock">
          <a:extLst>
            <a:ext uri="{FF2B5EF4-FFF2-40B4-BE49-F238E27FC236}">
              <a16:creationId xmlns:a16="http://schemas.microsoft.com/office/drawing/2014/main" id="{50F25EE0-4F0F-4DF5-A4D9-9261B28B4D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4750" b="79625" l="10467" r="88667">
                      <a14:foregroundMark x1="48600" y1="17188" x2="28867" y2="50625"/>
                      <a14:foregroundMark x1="36267" y1="35063" x2="22933" y2="56188"/>
                      <a14:foregroundMark x1="20067" y1="59500" x2="19533" y2="61625"/>
                      <a14:foregroundMark x1="22267" y1="56938" x2="13800" y2="72813"/>
                      <a14:foregroundMark x1="13133" y1="69750" x2="23067" y2="75063"/>
                      <a14:foregroundMark x1="10533" y1="71750" x2="23467" y2="73938"/>
                      <a14:foregroundMark x1="13267" y1="72625" x2="44733" y2="73938"/>
                      <a14:foregroundMark x1="12867" y1="72063" x2="55600" y2="76188"/>
                      <a14:foregroundMark x1="14200" y1="75500" x2="60467" y2="74938"/>
                      <a14:foregroundMark x1="13800" y1="77375" x2="61667" y2="76625"/>
                      <a14:foregroundMark x1="84667" y1="65750" x2="83733" y2="79625"/>
                      <a14:foregroundMark x1="84933" y1="68063" x2="88667" y2="76938"/>
                      <a14:foregroundMark x1="57333" y1="20313" x2="57067" y2="18188"/>
                      <a14:foregroundMark x1="55333" y1="15875" x2="45667" y2="15875"/>
                      <a14:foregroundMark x1="51133" y1="15750" x2="52533" y2="14750"/>
                      <a14:foregroundMark x1="49400" y1="41313" x2="49267" y2="6106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498" t="9488" r="7582" b="17457"/>
        <a:stretch>
          <a:fillRect/>
        </a:stretch>
      </xdr:blipFill>
      <xdr:spPr bwMode="auto">
        <a:xfrm>
          <a:off x="7149920" y="363151"/>
          <a:ext cx="484695" cy="393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71438</xdr:rowOff>
        </xdr:from>
        <xdr:to>
          <xdr:col>3</xdr:col>
          <xdr:colOff>1738313</xdr:colOff>
          <xdr:row>25</xdr:row>
          <xdr:rowOff>147638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68580" rIns="82296" bIns="6858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963432</xdr:colOff>
      <xdr:row>2</xdr:row>
      <xdr:rowOff>82163</xdr:rowOff>
    </xdr:from>
    <xdr:to>
      <xdr:col>5</xdr:col>
      <xdr:colOff>1448127</xdr:colOff>
      <xdr:row>3</xdr:row>
      <xdr:rowOff>294408</xdr:rowOff>
    </xdr:to>
    <xdr:pic>
      <xdr:nvPicPr>
        <xdr:cNvPr id="2" name="Picture 1" descr="1,980,836 Warning Sign Royalty-Free Images, Stock Photos &amp; Pictures |  Shutterstock">
          <a:extLst>
            <a:ext uri="{FF2B5EF4-FFF2-40B4-BE49-F238E27FC236}">
              <a16:creationId xmlns:a16="http://schemas.microsoft.com/office/drawing/2014/main" id="{6A0549B7-F2DC-4736-9BEE-F2C75D89D68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4750" b="79625" l="10467" r="88667">
                      <a14:foregroundMark x1="48600" y1="17188" x2="28867" y2="50625"/>
                      <a14:foregroundMark x1="36267" y1="35063" x2="22933" y2="56188"/>
                      <a14:foregroundMark x1="20067" y1="59500" x2="19533" y2="61625"/>
                      <a14:foregroundMark x1="22267" y1="56938" x2="13800" y2="72813"/>
                      <a14:foregroundMark x1="13133" y1="69750" x2="23067" y2="75063"/>
                      <a14:foregroundMark x1="10533" y1="71750" x2="23467" y2="73938"/>
                      <a14:foregroundMark x1="13267" y1="72625" x2="44733" y2="73938"/>
                      <a14:foregroundMark x1="12867" y1="72063" x2="55600" y2="76188"/>
                      <a14:foregroundMark x1="14200" y1="75500" x2="60467" y2="74938"/>
                      <a14:foregroundMark x1="13800" y1="77375" x2="61667" y2="76625"/>
                      <a14:foregroundMark x1="84667" y1="65750" x2="83733" y2="79625"/>
                      <a14:foregroundMark x1="84933" y1="68063" x2="88667" y2="76938"/>
                      <a14:foregroundMark x1="57333" y1="20313" x2="57067" y2="18188"/>
                      <a14:foregroundMark x1="55333" y1="15875" x2="45667" y2="15875"/>
                      <a14:foregroundMark x1="51133" y1="15750" x2="52533" y2="14750"/>
                      <a14:foregroundMark x1="49400" y1="41313" x2="49267" y2="6106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498" t="9488" r="7582" b="17457"/>
        <a:stretch>
          <a:fillRect/>
        </a:stretch>
      </xdr:blipFill>
      <xdr:spPr bwMode="auto">
        <a:xfrm>
          <a:off x="7149920" y="363151"/>
          <a:ext cx="484695" cy="393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71438</xdr:rowOff>
        </xdr:from>
        <xdr:to>
          <xdr:col>3</xdr:col>
          <xdr:colOff>1738313</xdr:colOff>
          <xdr:row>25</xdr:row>
          <xdr:rowOff>147638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68580" rIns="82296" bIns="6858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963432</xdr:colOff>
      <xdr:row>2</xdr:row>
      <xdr:rowOff>82163</xdr:rowOff>
    </xdr:from>
    <xdr:to>
      <xdr:col>5</xdr:col>
      <xdr:colOff>1448127</xdr:colOff>
      <xdr:row>3</xdr:row>
      <xdr:rowOff>294408</xdr:rowOff>
    </xdr:to>
    <xdr:pic>
      <xdr:nvPicPr>
        <xdr:cNvPr id="2" name="Picture 1" descr="1,980,836 Warning Sign Royalty-Free Images, Stock Photos &amp; Pictures |  Shutterstock">
          <a:extLst>
            <a:ext uri="{FF2B5EF4-FFF2-40B4-BE49-F238E27FC236}">
              <a16:creationId xmlns:a16="http://schemas.microsoft.com/office/drawing/2014/main" id="{DFD55DE4-FFC5-4B05-9D22-997D97EFC9B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4750" b="79625" l="10467" r="88667">
                      <a14:foregroundMark x1="48600" y1="17188" x2="28867" y2="50625"/>
                      <a14:foregroundMark x1="36267" y1="35063" x2="22933" y2="56188"/>
                      <a14:foregroundMark x1="20067" y1="59500" x2="19533" y2="61625"/>
                      <a14:foregroundMark x1="22267" y1="56938" x2="13800" y2="72813"/>
                      <a14:foregroundMark x1="13133" y1="69750" x2="23067" y2="75063"/>
                      <a14:foregroundMark x1="10533" y1="71750" x2="23467" y2="73938"/>
                      <a14:foregroundMark x1="13267" y1="72625" x2="44733" y2="73938"/>
                      <a14:foregroundMark x1="12867" y1="72063" x2="55600" y2="76188"/>
                      <a14:foregroundMark x1="14200" y1="75500" x2="60467" y2="74938"/>
                      <a14:foregroundMark x1="13800" y1="77375" x2="61667" y2="76625"/>
                      <a14:foregroundMark x1="84667" y1="65750" x2="83733" y2="79625"/>
                      <a14:foregroundMark x1="84933" y1="68063" x2="88667" y2="76938"/>
                      <a14:foregroundMark x1="57333" y1="20313" x2="57067" y2="18188"/>
                      <a14:foregroundMark x1="55333" y1="15875" x2="45667" y2="15875"/>
                      <a14:foregroundMark x1="51133" y1="15750" x2="52533" y2="14750"/>
                      <a14:foregroundMark x1="49400" y1="41313" x2="49267" y2="6106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498" t="9488" r="7582" b="17457"/>
        <a:stretch>
          <a:fillRect/>
        </a:stretch>
      </xdr:blipFill>
      <xdr:spPr bwMode="auto">
        <a:xfrm>
          <a:off x="7149920" y="363151"/>
          <a:ext cx="484695" cy="393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71438</xdr:rowOff>
        </xdr:from>
        <xdr:to>
          <xdr:col>3</xdr:col>
          <xdr:colOff>1738313</xdr:colOff>
          <xdr:row>25</xdr:row>
          <xdr:rowOff>147638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68580" rIns="82296" bIns="6858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963432</xdr:colOff>
      <xdr:row>2</xdr:row>
      <xdr:rowOff>82163</xdr:rowOff>
    </xdr:from>
    <xdr:to>
      <xdr:col>5</xdr:col>
      <xdr:colOff>1448127</xdr:colOff>
      <xdr:row>3</xdr:row>
      <xdr:rowOff>294408</xdr:rowOff>
    </xdr:to>
    <xdr:pic>
      <xdr:nvPicPr>
        <xdr:cNvPr id="2" name="Picture 1" descr="1,980,836 Warning Sign Royalty-Free Images, Stock Photos &amp; Pictures |  Shutterstock">
          <a:extLst>
            <a:ext uri="{FF2B5EF4-FFF2-40B4-BE49-F238E27FC236}">
              <a16:creationId xmlns:a16="http://schemas.microsoft.com/office/drawing/2014/main" id="{A0D9DE92-463C-4FAB-AF41-1C71564025B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4750" b="79625" l="10467" r="88667">
                      <a14:foregroundMark x1="48600" y1="17188" x2="28867" y2="50625"/>
                      <a14:foregroundMark x1="36267" y1="35063" x2="22933" y2="56188"/>
                      <a14:foregroundMark x1="20067" y1="59500" x2="19533" y2="61625"/>
                      <a14:foregroundMark x1="22267" y1="56938" x2="13800" y2="72813"/>
                      <a14:foregroundMark x1="13133" y1="69750" x2="23067" y2="75063"/>
                      <a14:foregroundMark x1="10533" y1="71750" x2="23467" y2="73938"/>
                      <a14:foregroundMark x1="13267" y1="72625" x2="44733" y2="73938"/>
                      <a14:foregroundMark x1="12867" y1="72063" x2="55600" y2="76188"/>
                      <a14:foregroundMark x1="14200" y1="75500" x2="60467" y2="74938"/>
                      <a14:foregroundMark x1="13800" y1="77375" x2="61667" y2="76625"/>
                      <a14:foregroundMark x1="84667" y1="65750" x2="83733" y2="79625"/>
                      <a14:foregroundMark x1="84933" y1="68063" x2="88667" y2="76938"/>
                      <a14:foregroundMark x1="57333" y1="20313" x2="57067" y2="18188"/>
                      <a14:foregroundMark x1="55333" y1="15875" x2="45667" y2="15875"/>
                      <a14:foregroundMark x1="51133" y1="15750" x2="52533" y2="14750"/>
                      <a14:foregroundMark x1="49400" y1="41313" x2="49267" y2="6106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498" t="9488" r="7582" b="17457"/>
        <a:stretch>
          <a:fillRect/>
        </a:stretch>
      </xdr:blipFill>
      <xdr:spPr bwMode="auto">
        <a:xfrm>
          <a:off x="7149920" y="363151"/>
          <a:ext cx="484695" cy="393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71438</xdr:rowOff>
        </xdr:from>
        <xdr:to>
          <xdr:col>3</xdr:col>
          <xdr:colOff>1738313</xdr:colOff>
          <xdr:row>25</xdr:row>
          <xdr:rowOff>147638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68580" rIns="82296" bIns="6858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963432</xdr:colOff>
      <xdr:row>2</xdr:row>
      <xdr:rowOff>82163</xdr:rowOff>
    </xdr:from>
    <xdr:to>
      <xdr:col>5</xdr:col>
      <xdr:colOff>1448127</xdr:colOff>
      <xdr:row>3</xdr:row>
      <xdr:rowOff>294408</xdr:rowOff>
    </xdr:to>
    <xdr:pic>
      <xdr:nvPicPr>
        <xdr:cNvPr id="2" name="Picture 1" descr="1,980,836 Warning Sign Royalty-Free Images, Stock Photos &amp; Pictures |  Shutterstock">
          <a:extLst>
            <a:ext uri="{FF2B5EF4-FFF2-40B4-BE49-F238E27FC236}">
              <a16:creationId xmlns:a16="http://schemas.microsoft.com/office/drawing/2014/main" id="{7F03FBDC-6FE7-4ADF-8B28-D6A1E9BF8BB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4750" b="79625" l="10467" r="88667">
                      <a14:foregroundMark x1="48600" y1="17188" x2="28867" y2="50625"/>
                      <a14:foregroundMark x1="36267" y1="35063" x2="22933" y2="56188"/>
                      <a14:foregroundMark x1="20067" y1="59500" x2="19533" y2="61625"/>
                      <a14:foregroundMark x1="22267" y1="56938" x2="13800" y2="72813"/>
                      <a14:foregroundMark x1="13133" y1="69750" x2="23067" y2="75063"/>
                      <a14:foregroundMark x1="10533" y1="71750" x2="23467" y2="73938"/>
                      <a14:foregroundMark x1="13267" y1="72625" x2="44733" y2="73938"/>
                      <a14:foregroundMark x1="12867" y1="72063" x2="55600" y2="76188"/>
                      <a14:foregroundMark x1="14200" y1="75500" x2="60467" y2="74938"/>
                      <a14:foregroundMark x1="13800" y1="77375" x2="61667" y2="76625"/>
                      <a14:foregroundMark x1="84667" y1="65750" x2="83733" y2="79625"/>
                      <a14:foregroundMark x1="84933" y1="68063" x2="88667" y2="76938"/>
                      <a14:foregroundMark x1="57333" y1="20313" x2="57067" y2="18188"/>
                      <a14:foregroundMark x1="55333" y1="15875" x2="45667" y2="15875"/>
                      <a14:foregroundMark x1="51133" y1="15750" x2="52533" y2="14750"/>
                      <a14:foregroundMark x1="49400" y1="41313" x2="49267" y2="6106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498" t="9488" r="7582" b="17457"/>
        <a:stretch>
          <a:fillRect/>
        </a:stretch>
      </xdr:blipFill>
      <xdr:spPr bwMode="auto">
        <a:xfrm>
          <a:off x="7149920" y="363151"/>
          <a:ext cx="484695" cy="393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23</xdr:row>
          <xdr:rowOff>71438</xdr:rowOff>
        </xdr:from>
        <xdr:to>
          <xdr:col>3</xdr:col>
          <xdr:colOff>1738313</xdr:colOff>
          <xdr:row>25</xdr:row>
          <xdr:rowOff>147638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68580" rIns="82296" bIns="68580" anchor="ctr" upright="1"/>
            <a:lstStyle/>
            <a:p>
              <a:pPr algn="ctr" rtl="0">
                <a:defRPr sz="1000"/>
              </a:pPr>
              <a:r>
                <a:rPr lang="en-PH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7D6C3-8B0B-4EE8-8783-86B2B1F6AA20}">
  <sheetPr codeName="Sheet1"/>
  <dimension ref="B2:G33"/>
  <sheetViews>
    <sheetView showGridLines="0" tabSelected="1" topLeftCell="A3" zoomScale="70" zoomScaleNormal="70" workbookViewId="0">
      <selection sqref="A1:J35"/>
    </sheetView>
  </sheetViews>
  <sheetFormatPr defaultRowHeight="14.25" x14ac:dyDescent="0.45"/>
  <cols>
    <col min="1" max="1" width="9.06640625" style="11"/>
    <col min="2" max="2" width="1.59765625" style="11" customWidth="1"/>
    <col min="3" max="3" width="40.59765625" style="11" customWidth="1"/>
    <col min="4" max="4" width="24.59765625" style="11" customWidth="1"/>
    <col min="5" max="5" width="10.73046875" style="11" customWidth="1"/>
    <col min="6" max="6" width="24.59765625" style="11" customWidth="1"/>
    <col min="7" max="7" width="1.59765625" style="11" customWidth="1"/>
    <col min="8" max="16384" width="9.06640625" style="11"/>
  </cols>
  <sheetData>
    <row r="2" spans="2:7" ht="8" customHeight="1" x14ac:dyDescent="0.45">
      <c r="B2" s="19"/>
      <c r="C2" s="17"/>
      <c r="D2" s="17"/>
      <c r="E2" s="17"/>
      <c r="F2" s="17"/>
      <c r="G2" s="26"/>
    </row>
    <row r="3" spans="2:7" ht="14.25" customHeight="1" x14ac:dyDescent="0.45">
      <c r="B3" s="20"/>
      <c r="C3" s="48" t="s">
        <v>22</v>
      </c>
      <c r="D3" s="48"/>
      <c r="E3" s="48"/>
      <c r="F3" s="48"/>
      <c r="G3" s="27"/>
    </row>
    <row r="4" spans="2:7" ht="27.4" customHeight="1" x14ac:dyDescent="0.45">
      <c r="B4" s="20"/>
      <c r="C4" s="48"/>
      <c r="D4" s="48"/>
      <c r="E4" s="48"/>
      <c r="F4" s="48"/>
      <c r="G4" s="27"/>
    </row>
    <row r="5" spans="2:7" x14ac:dyDescent="0.45">
      <c r="B5" s="20"/>
      <c r="C5"/>
      <c r="D5"/>
      <c r="E5"/>
      <c r="F5"/>
      <c r="G5" s="27"/>
    </row>
    <row r="6" spans="2:7" ht="22.05" customHeight="1" x14ac:dyDescent="0.75">
      <c r="B6" s="20"/>
      <c r="C6" s="24"/>
      <c r="D6" s="32" t="s">
        <v>16</v>
      </c>
      <c r="E6" s="33"/>
      <c r="F6" s="37" t="s">
        <v>15</v>
      </c>
      <c r="G6" s="27"/>
    </row>
    <row r="7" spans="2:7" ht="8" customHeight="1" x14ac:dyDescent="0.75">
      <c r="B7" s="20"/>
      <c r="C7" s="24"/>
      <c r="D7" s="34"/>
      <c r="E7" s="33"/>
      <c r="F7" s="35"/>
      <c r="G7" s="27"/>
    </row>
    <row r="8" spans="2:7" ht="28.05" customHeight="1" x14ac:dyDescent="0.45">
      <c r="B8" s="20"/>
      <c r="C8" s="38" t="s">
        <v>2</v>
      </c>
      <c r="D8" s="36">
        <v>6.94</v>
      </c>
      <c r="E8" s="30" t="str">
        <f>IF(D8="", "*Required","")</f>
        <v/>
      </c>
      <c r="F8" s="37"/>
      <c r="G8" s="27"/>
    </row>
    <row r="9" spans="2:7" ht="8" customHeight="1" x14ac:dyDescent="0.65">
      <c r="B9" s="20"/>
      <c r="C9" s="39"/>
      <c r="D9" s="32"/>
      <c r="E9" s="31"/>
      <c r="F9" s="37"/>
      <c r="G9" s="27"/>
    </row>
    <row r="10" spans="2:7" ht="28.05" customHeight="1" x14ac:dyDescent="0.45">
      <c r="B10" s="20"/>
      <c r="C10" s="38" t="s">
        <v>1</v>
      </c>
      <c r="D10" s="36">
        <v>0.1</v>
      </c>
      <c r="E10" s="30" t="str">
        <f>IF(D10="", "*Required","")</f>
        <v/>
      </c>
      <c r="F10" s="37" t="s">
        <v>18</v>
      </c>
      <c r="G10" s="27"/>
    </row>
    <row r="11" spans="2:7" ht="8" customHeight="1" x14ac:dyDescent="0.65">
      <c r="B11" s="20"/>
      <c r="C11" s="39"/>
      <c r="D11" s="32"/>
      <c r="E11" s="31"/>
      <c r="F11" s="37"/>
      <c r="G11" s="27"/>
    </row>
    <row r="12" spans="2:7" ht="28.05" customHeight="1" x14ac:dyDescent="0.45">
      <c r="B12" s="20"/>
      <c r="C12" s="38" t="s">
        <v>3</v>
      </c>
      <c r="D12" s="36">
        <v>0.1</v>
      </c>
      <c r="E12" s="30" t="str">
        <f>IF(D12="", "*Required","")</f>
        <v/>
      </c>
      <c r="F12" s="37" t="s">
        <v>18</v>
      </c>
      <c r="G12" s="27"/>
    </row>
    <row r="13" spans="2:7" ht="8" customHeight="1" x14ac:dyDescent="0.65">
      <c r="B13" s="20"/>
      <c r="C13" s="39"/>
      <c r="D13" s="32"/>
      <c r="E13" s="31"/>
      <c r="F13" s="37"/>
      <c r="G13" s="27"/>
    </row>
    <row r="14" spans="2:7" ht="28.05" customHeight="1" x14ac:dyDescent="0.45">
      <c r="B14" s="20"/>
      <c r="C14" s="38" t="s">
        <v>6</v>
      </c>
      <c r="D14" s="36">
        <v>25.1</v>
      </c>
      <c r="E14" s="30" t="str">
        <f>IF(D14="", "*Required","")</f>
        <v/>
      </c>
      <c r="F14" s="37" t="s">
        <v>17</v>
      </c>
      <c r="G14" s="27"/>
    </row>
    <row r="15" spans="2:7" ht="8" customHeight="1" x14ac:dyDescent="0.65">
      <c r="B15" s="20"/>
      <c r="C15" s="39"/>
      <c r="D15" s="32"/>
      <c r="E15" s="31"/>
      <c r="F15" s="37"/>
      <c r="G15" s="27"/>
    </row>
    <row r="16" spans="2:7" ht="28.05" customHeight="1" x14ac:dyDescent="0.45">
      <c r="B16" s="20"/>
      <c r="C16" s="38" t="s">
        <v>7</v>
      </c>
      <c r="D16" s="36">
        <v>270</v>
      </c>
      <c r="E16" s="30" t="str">
        <f>IF(D16="", "*Required","")</f>
        <v/>
      </c>
      <c r="F16" s="37" t="s">
        <v>18</v>
      </c>
      <c r="G16" s="27"/>
    </row>
    <row r="17" spans="2:7" ht="8" customHeight="1" x14ac:dyDescent="0.65">
      <c r="B17" s="20"/>
      <c r="C17" s="39"/>
      <c r="D17" s="32"/>
      <c r="E17" s="31"/>
      <c r="F17" s="37"/>
      <c r="G17" s="27"/>
    </row>
    <row r="18" spans="2:7" ht="28.05" customHeight="1" x14ac:dyDescent="0.45">
      <c r="B18" s="20"/>
      <c r="C18" s="38" t="s">
        <v>8</v>
      </c>
      <c r="D18" s="36">
        <v>415.2</v>
      </c>
      <c r="E18" s="30" t="str">
        <f>IF(D18="", "*Required","")</f>
        <v/>
      </c>
      <c r="F18" s="37" t="s">
        <v>20</v>
      </c>
      <c r="G18" s="27"/>
    </row>
    <row r="19" spans="2:7" ht="8" customHeight="1" x14ac:dyDescent="0.65">
      <c r="B19" s="20"/>
      <c r="C19" s="39"/>
      <c r="D19" s="32"/>
      <c r="E19" s="31"/>
      <c r="F19" s="37"/>
      <c r="G19" s="27"/>
    </row>
    <row r="20" spans="2:7" ht="28.05" customHeight="1" x14ac:dyDescent="0.45">
      <c r="B20" s="20"/>
      <c r="C20" s="38" t="s">
        <v>9</v>
      </c>
      <c r="D20" s="36">
        <v>0.2</v>
      </c>
      <c r="E20" s="30" t="str">
        <f>IF(D20="", "*Required","")</f>
        <v/>
      </c>
      <c r="F20" s="37" t="s">
        <v>19</v>
      </c>
      <c r="G20" s="27"/>
    </row>
    <row r="21" spans="2:7" ht="8" customHeight="1" x14ac:dyDescent="0.65">
      <c r="B21" s="20"/>
      <c r="C21" s="39"/>
      <c r="D21" s="32"/>
      <c r="E21" s="31"/>
      <c r="F21" s="37"/>
      <c r="G21" s="27"/>
    </row>
    <row r="22" spans="2:7" ht="28.05" customHeight="1" x14ac:dyDescent="0.45">
      <c r="B22" s="20"/>
      <c r="C22" s="38" t="s">
        <v>10</v>
      </c>
      <c r="D22" s="36">
        <v>3.11</v>
      </c>
      <c r="E22" s="30" t="str">
        <f>IF(D22="", "*Required","")</f>
        <v/>
      </c>
      <c r="F22" s="37" t="s">
        <v>21</v>
      </c>
      <c r="G22" s="27"/>
    </row>
    <row r="23" spans="2:7" x14ac:dyDescent="0.45">
      <c r="B23" s="20"/>
      <c r="C23"/>
      <c r="D23"/>
      <c r="E23"/>
      <c r="F23"/>
      <c r="G23" s="27"/>
    </row>
    <row r="24" spans="2:7" x14ac:dyDescent="0.45">
      <c r="B24" s="20"/>
      <c r="C24"/>
      <c r="D24"/>
      <c r="E24"/>
      <c r="F24"/>
      <c r="G24" s="27"/>
    </row>
    <row r="25" spans="2:7" x14ac:dyDescent="0.45">
      <c r="B25" s="20"/>
      <c r="C25"/>
      <c r="D25"/>
      <c r="E25"/>
      <c r="F25"/>
      <c r="G25" s="27"/>
    </row>
    <row r="26" spans="2:7" ht="14.35" customHeight="1" x14ac:dyDescent="0.45">
      <c r="B26" s="20"/>
      <c r="C26"/>
      <c r="D26"/>
      <c r="E26"/>
      <c r="F26"/>
      <c r="G26" s="27"/>
    </row>
    <row r="27" spans="2:7" ht="14.35" customHeight="1" x14ac:dyDescent="0.45">
      <c r="B27" s="20"/>
      <c r="C27"/>
      <c r="D27"/>
      <c r="E27"/>
      <c r="F27"/>
      <c r="G27" s="27"/>
    </row>
    <row r="28" spans="2:7" ht="18" x14ac:dyDescent="0.55000000000000004">
      <c r="B28" s="20"/>
      <c r="C28" s="28" t="s">
        <v>4</v>
      </c>
      <c r="D28" s="29">
        <v>0.99999999953287422</v>
      </c>
      <c r="E28"/>
      <c r="F28"/>
      <c r="G28" s="27"/>
    </row>
    <row r="29" spans="2:7" ht="8" customHeight="1" x14ac:dyDescent="0.45">
      <c r="B29" s="20"/>
      <c r="C29" s="25"/>
      <c r="D29"/>
      <c r="E29"/>
      <c r="F29"/>
      <c r="G29" s="27"/>
    </row>
    <row r="30" spans="2:7" ht="22.15" customHeight="1" x14ac:dyDescent="0.45">
      <c r="B30" s="20"/>
      <c r="C30" s="49" t="s">
        <v>25</v>
      </c>
      <c r="D30" s="50" t="s">
        <v>33</v>
      </c>
      <c r="E30" s="50"/>
      <c r="F30"/>
      <c r="G30" s="27"/>
    </row>
    <row r="31" spans="2:7" ht="8" customHeight="1" x14ac:dyDescent="0.45">
      <c r="B31" s="20"/>
      <c r="C31" s="49"/>
      <c r="D31" s="50"/>
      <c r="E31" s="50"/>
      <c r="F31"/>
      <c r="G31" s="27"/>
    </row>
    <row r="32" spans="2:7" ht="8" customHeight="1" x14ac:dyDescent="0.45">
      <c r="B32" s="20"/>
      <c r="C32"/>
      <c r="D32"/>
      <c r="E32"/>
      <c r="F32"/>
      <c r="G32" s="27"/>
    </row>
    <row r="33" spans="2:7" x14ac:dyDescent="0.45">
      <c r="B33" s="21"/>
      <c r="C33" s="18"/>
      <c r="D33" s="18"/>
      <c r="E33" s="18"/>
      <c r="F33" s="18"/>
      <c r="G33" s="10"/>
    </row>
  </sheetData>
  <mergeCells count="3">
    <mergeCell ref="C3:F4"/>
    <mergeCell ref="C30:C31"/>
    <mergeCell ref="D30:E31"/>
  </mergeCells>
  <conditionalFormatting sqref="D30">
    <cfRule type="cellIs" dxfId="22" priority="2" operator="equal">
      <formula>"NO FISH KILL"</formula>
    </cfRule>
    <cfRule type="cellIs" dxfId="24" priority="3" operator="equal">
      <formula>"HIGH RISK"</formula>
    </cfRule>
    <cfRule type="cellIs" dxfId="23" priority="1" operator="equal">
      <formula>"FISH KILL"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PredictFishKill">
                <anchor moveWithCells="1" sizeWithCells="1">
                  <from>
                    <xdr:col>3</xdr:col>
                    <xdr:colOff>9525</xdr:colOff>
                    <xdr:row>23</xdr:row>
                    <xdr:rowOff>71438</xdr:rowOff>
                  </from>
                  <to>
                    <xdr:col>3</xdr:col>
                    <xdr:colOff>1738313</xdr:colOff>
                    <xdr:row>25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7FEC5-2DF0-41EF-B8DD-2E8B8E352EC5}">
  <sheetPr codeName="Sheet5"/>
  <dimension ref="B2:G33"/>
  <sheetViews>
    <sheetView showGridLines="0" zoomScale="40" zoomScaleNormal="40" workbookViewId="0">
      <selection activeCell="D30" sqref="D30:D31"/>
    </sheetView>
  </sheetViews>
  <sheetFormatPr defaultRowHeight="14.25" x14ac:dyDescent="0.45"/>
  <cols>
    <col min="1" max="1" width="9.06640625" style="11"/>
    <col min="2" max="2" width="1.59765625" style="11" customWidth="1"/>
    <col min="3" max="3" width="40.59765625" style="11" customWidth="1"/>
    <col min="4" max="4" width="24.59765625" style="11" customWidth="1"/>
    <col min="5" max="5" width="10.73046875" style="11" customWidth="1"/>
    <col min="6" max="6" width="24.59765625" style="11" customWidth="1"/>
    <col min="7" max="7" width="1.59765625" style="11" customWidth="1"/>
    <col min="8" max="16384" width="9.06640625" style="11"/>
  </cols>
  <sheetData>
    <row r="2" spans="2:7" ht="8" customHeight="1" x14ac:dyDescent="0.45">
      <c r="B2" s="19"/>
      <c r="C2" s="17"/>
      <c r="D2" s="17"/>
      <c r="E2" s="17"/>
      <c r="F2" s="17"/>
      <c r="G2" s="26"/>
    </row>
    <row r="3" spans="2:7" ht="14.25" customHeight="1" x14ac:dyDescent="0.45">
      <c r="B3" s="20"/>
      <c r="C3" s="48" t="s">
        <v>22</v>
      </c>
      <c r="D3" s="48"/>
      <c r="E3" s="48"/>
      <c r="F3" s="48"/>
      <c r="G3" s="27"/>
    </row>
    <row r="4" spans="2:7" ht="27.4" customHeight="1" x14ac:dyDescent="0.45">
      <c r="B4" s="20"/>
      <c r="C4" s="48"/>
      <c r="D4" s="48"/>
      <c r="E4" s="48"/>
      <c r="F4" s="48"/>
      <c r="G4" s="27"/>
    </row>
    <row r="5" spans="2:7" x14ac:dyDescent="0.45">
      <c r="B5" s="20"/>
      <c r="C5"/>
      <c r="D5"/>
      <c r="E5"/>
      <c r="F5"/>
      <c r="G5" s="27"/>
    </row>
    <row r="6" spans="2:7" ht="22.05" customHeight="1" x14ac:dyDescent="0.75">
      <c r="B6" s="20"/>
      <c r="C6" s="24"/>
      <c r="D6" s="32" t="s">
        <v>16</v>
      </c>
      <c r="E6" s="33"/>
      <c r="F6" s="37" t="s">
        <v>15</v>
      </c>
      <c r="G6" s="27"/>
    </row>
    <row r="7" spans="2:7" ht="8" customHeight="1" x14ac:dyDescent="0.75">
      <c r="B7" s="20"/>
      <c r="C7" s="24"/>
      <c r="D7" s="34"/>
      <c r="E7" s="33"/>
      <c r="F7" s="35"/>
      <c r="G7" s="27"/>
    </row>
    <row r="8" spans="2:7" ht="28.05" customHeight="1" x14ac:dyDescent="0.45">
      <c r="B8" s="20"/>
      <c r="C8" s="38" t="s">
        <v>2</v>
      </c>
      <c r="D8" s="36">
        <v>6.94</v>
      </c>
      <c r="E8" s="30" t="str">
        <f>IF(D8="", "*Required","")</f>
        <v/>
      </c>
      <c r="F8" s="37"/>
      <c r="G8" s="27"/>
    </row>
    <row r="9" spans="2:7" ht="8" customHeight="1" x14ac:dyDescent="0.65">
      <c r="B9" s="20"/>
      <c r="C9" s="39"/>
      <c r="D9" s="32"/>
      <c r="E9" s="31"/>
      <c r="F9" s="37"/>
      <c r="G9" s="27"/>
    </row>
    <row r="10" spans="2:7" ht="28.05" customHeight="1" x14ac:dyDescent="0.45">
      <c r="B10" s="20"/>
      <c r="C10" s="38" t="s">
        <v>1</v>
      </c>
      <c r="D10" s="36">
        <v>0.24</v>
      </c>
      <c r="E10" s="30" t="str">
        <f>IF(D10="", "*Required","")</f>
        <v/>
      </c>
      <c r="F10" s="37" t="s">
        <v>18</v>
      </c>
      <c r="G10" s="27"/>
    </row>
    <row r="11" spans="2:7" ht="8" customHeight="1" x14ac:dyDescent="0.65">
      <c r="B11" s="20"/>
      <c r="C11" s="39"/>
      <c r="D11" s="32"/>
      <c r="E11" s="31"/>
      <c r="F11" s="37"/>
      <c r="G11" s="27"/>
    </row>
    <row r="12" spans="2:7" ht="28.05" customHeight="1" x14ac:dyDescent="0.45">
      <c r="B12" s="20"/>
      <c r="C12" s="38" t="s">
        <v>3</v>
      </c>
      <c r="D12" s="36">
        <v>0.12</v>
      </c>
      <c r="E12" s="30" t="str">
        <f>IF(D12="", "*Required","")</f>
        <v/>
      </c>
      <c r="F12" s="37" t="s">
        <v>18</v>
      </c>
      <c r="G12" s="27"/>
    </row>
    <row r="13" spans="2:7" ht="8" customHeight="1" x14ac:dyDescent="0.65">
      <c r="B13" s="20"/>
      <c r="C13" s="39"/>
      <c r="D13" s="32"/>
      <c r="E13" s="31"/>
      <c r="F13" s="37"/>
      <c r="G13" s="27"/>
    </row>
    <row r="14" spans="2:7" ht="28.05" customHeight="1" x14ac:dyDescent="0.45">
      <c r="B14" s="20"/>
      <c r="C14" s="38" t="s">
        <v>6</v>
      </c>
      <c r="D14" s="36">
        <v>25.1</v>
      </c>
      <c r="E14" s="30" t="str">
        <f>IF(D14="", "*Required","")</f>
        <v/>
      </c>
      <c r="F14" s="37" t="s">
        <v>17</v>
      </c>
      <c r="G14" s="27"/>
    </row>
    <row r="15" spans="2:7" ht="8" customHeight="1" x14ac:dyDescent="0.65">
      <c r="B15" s="20"/>
      <c r="C15" s="39"/>
      <c r="D15" s="32"/>
      <c r="E15" s="31"/>
      <c r="F15" s="37"/>
      <c r="G15" s="27"/>
    </row>
    <row r="16" spans="2:7" ht="28.05" customHeight="1" x14ac:dyDescent="0.45">
      <c r="B16" s="20"/>
      <c r="C16" s="38" t="s">
        <v>7</v>
      </c>
      <c r="D16" s="36">
        <v>270</v>
      </c>
      <c r="E16" s="30" t="str">
        <f>IF(D16="", "*Required","")</f>
        <v/>
      </c>
      <c r="F16" s="37" t="s">
        <v>18</v>
      </c>
      <c r="G16" s="27"/>
    </row>
    <row r="17" spans="2:7" ht="8" customHeight="1" x14ac:dyDescent="0.65">
      <c r="B17" s="20"/>
      <c r="C17" s="39"/>
      <c r="D17" s="32"/>
      <c r="E17" s="31"/>
      <c r="F17" s="37"/>
      <c r="G17" s="27"/>
    </row>
    <row r="18" spans="2:7" ht="28.05" customHeight="1" x14ac:dyDescent="0.45">
      <c r="B18" s="20"/>
      <c r="C18" s="38" t="s">
        <v>8</v>
      </c>
      <c r="D18" s="36">
        <v>415.5</v>
      </c>
      <c r="E18" s="30" t="str">
        <f>IF(D18="", "*Required","")</f>
        <v/>
      </c>
      <c r="F18" s="37" t="s">
        <v>20</v>
      </c>
      <c r="G18" s="27"/>
    </row>
    <row r="19" spans="2:7" ht="8" customHeight="1" x14ac:dyDescent="0.65">
      <c r="B19" s="20"/>
      <c r="C19" s="39"/>
      <c r="D19" s="32"/>
      <c r="E19" s="31"/>
      <c r="F19" s="37"/>
      <c r="G19" s="27"/>
    </row>
    <row r="20" spans="2:7" ht="28.05" customHeight="1" x14ac:dyDescent="0.45">
      <c r="B20" s="20"/>
      <c r="C20" s="38" t="s">
        <v>9</v>
      </c>
      <c r="D20" s="36">
        <v>0.2</v>
      </c>
      <c r="E20" s="30" t="str">
        <f>IF(D20="", "*Required","")</f>
        <v/>
      </c>
      <c r="F20" s="37" t="s">
        <v>19</v>
      </c>
      <c r="G20" s="27"/>
    </row>
    <row r="21" spans="2:7" ht="8" customHeight="1" x14ac:dyDescent="0.65">
      <c r="B21" s="20"/>
      <c r="C21" s="39"/>
      <c r="D21" s="32"/>
      <c r="E21" s="31"/>
      <c r="F21" s="37"/>
      <c r="G21" s="27"/>
    </row>
    <row r="22" spans="2:7" ht="28.05" customHeight="1" x14ac:dyDescent="0.45">
      <c r="B22" s="20"/>
      <c r="C22" s="42" t="s">
        <v>10</v>
      </c>
      <c r="D22" s="45">
        <v>3.11</v>
      </c>
      <c r="E22" s="43" t="str">
        <f>IF(D22="", "*Required","")</f>
        <v/>
      </c>
      <c r="F22" s="44" t="s">
        <v>21</v>
      </c>
      <c r="G22" s="27"/>
    </row>
    <row r="23" spans="2:7" x14ac:dyDescent="0.45">
      <c r="B23" s="20"/>
      <c r="C23"/>
      <c r="D23"/>
      <c r="E23"/>
      <c r="F23"/>
      <c r="G23" s="27"/>
    </row>
    <row r="24" spans="2:7" x14ac:dyDescent="0.45">
      <c r="B24" s="20"/>
      <c r="C24"/>
      <c r="D24"/>
      <c r="E24"/>
      <c r="F24"/>
      <c r="G24" s="27"/>
    </row>
    <row r="25" spans="2:7" x14ac:dyDescent="0.45">
      <c r="B25" s="20"/>
      <c r="C25"/>
      <c r="D25"/>
      <c r="E25"/>
      <c r="F25"/>
      <c r="G25" s="27"/>
    </row>
    <row r="26" spans="2:7" ht="14.35" customHeight="1" x14ac:dyDescent="0.45">
      <c r="B26" s="20"/>
      <c r="C26"/>
      <c r="D26"/>
      <c r="E26"/>
      <c r="F26"/>
      <c r="G26" s="27"/>
    </row>
    <row r="27" spans="2:7" ht="14.35" customHeight="1" x14ac:dyDescent="0.45">
      <c r="B27" s="20"/>
      <c r="C27"/>
      <c r="D27"/>
      <c r="E27"/>
      <c r="F27"/>
      <c r="G27" s="27"/>
    </row>
    <row r="28" spans="2:7" ht="18" x14ac:dyDescent="0.55000000000000004">
      <c r="B28" s="20"/>
      <c r="C28" s="28" t="s">
        <v>4</v>
      </c>
      <c r="D28" s="29">
        <v>0.99999999950569496</v>
      </c>
      <c r="E28"/>
      <c r="F28"/>
      <c r="G28" s="27"/>
    </row>
    <row r="29" spans="2:7" ht="8" customHeight="1" x14ac:dyDescent="0.45">
      <c r="B29" s="20"/>
      <c r="C29" s="25"/>
      <c r="D29"/>
      <c r="E29"/>
      <c r="F29"/>
      <c r="G29" s="27"/>
    </row>
    <row r="30" spans="2:7" ht="22.15" customHeight="1" x14ac:dyDescent="0.45">
      <c r="B30" s="20"/>
      <c r="C30" s="49" t="s">
        <v>25</v>
      </c>
      <c r="D30" s="50" t="s">
        <v>33</v>
      </c>
      <c r="E30"/>
      <c r="F30"/>
      <c r="G30" s="27"/>
    </row>
    <row r="31" spans="2:7" ht="8" customHeight="1" x14ac:dyDescent="0.45">
      <c r="B31" s="20"/>
      <c r="C31" s="49"/>
      <c r="D31" s="50"/>
      <c r="E31"/>
      <c r="F31"/>
      <c r="G31" s="27"/>
    </row>
    <row r="32" spans="2:7" ht="8" customHeight="1" x14ac:dyDescent="0.45">
      <c r="B32" s="20"/>
      <c r="C32"/>
      <c r="D32"/>
      <c r="E32"/>
      <c r="F32"/>
      <c r="G32" s="27"/>
    </row>
    <row r="33" spans="2:7" x14ac:dyDescent="0.45">
      <c r="B33" s="21"/>
      <c r="C33" s="18"/>
      <c r="D33" s="18"/>
      <c r="E33" s="18"/>
      <c r="F33" s="18"/>
      <c r="G33" s="10"/>
    </row>
  </sheetData>
  <mergeCells count="3">
    <mergeCell ref="C3:F4"/>
    <mergeCell ref="C30:C31"/>
    <mergeCell ref="D30:D31"/>
  </mergeCells>
  <conditionalFormatting sqref="D30">
    <cfRule type="cellIs" dxfId="21" priority="1" operator="equal">
      <formula>"NO FISH KILL"</formula>
    </cfRule>
    <cfRule type="cellIs" dxfId="20" priority="2" operator="equal">
      <formula>"FISH KILL"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PredictFishKill_Reduced_7">
                <anchor moveWithCells="1" sizeWithCells="1">
                  <from>
                    <xdr:col>3</xdr:col>
                    <xdr:colOff>9525</xdr:colOff>
                    <xdr:row>23</xdr:row>
                    <xdr:rowOff>71438</xdr:rowOff>
                  </from>
                  <to>
                    <xdr:col>3</xdr:col>
                    <xdr:colOff>1738313</xdr:colOff>
                    <xdr:row>25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EA719-955D-4262-B76C-FC034426A3D0}">
  <sheetPr codeName="Sheet6"/>
  <dimension ref="B2:G33"/>
  <sheetViews>
    <sheetView showGridLines="0" zoomScale="40" zoomScaleNormal="40" workbookViewId="0">
      <selection activeCell="D30" sqref="D30:D31"/>
    </sheetView>
  </sheetViews>
  <sheetFormatPr defaultRowHeight="14.25" x14ac:dyDescent="0.45"/>
  <cols>
    <col min="1" max="1" width="9.06640625" style="11"/>
    <col min="2" max="2" width="1.59765625" style="11" customWidth="1"/>
    <col min="3" max="3" width="40.59765625" style="11" customWidth="1"/>
    <col min="4" max="4" width="24.59765625" style="11" customWidth="1"/>
    <col min="5" max="5" width="10.73046875" style="11" customWidth="1"/>
    <col min="6" max="6" width="24.59765625" style="11" customWidth="1"/>
    <col min="7" max="7" width="1.59765625" style="11" customWidth="1"/>
    <col min="8" max="16384" width="9.06640625" style="11"/>
  </cols>
  <sheetData>
    <row r="2" spans="2:7" ht="8" customHeight="1" x14ac:dyDescent="0.45">
      <c r="B2" s="19"/>
      <c r="C2" s="17"/>
      <c r="D2" s="17"/>
      <c r="E2" s="17"/>
      <c r="F2" s="17"/>
      <c r="G2" s="26"/>
    </row>
    <row r="3" spans="2:7" ht="14.25" customHeight="1" x14ac:dyDescent="0.45">
      <c r="B3" s="20"/>
      <c r="C3" s="48" t="s">
        <v>22</v>
      </c>
      <c r="D3" s="48"/>
      <c r="E3" s="48"/>
      <c r="F3" s="48"/>
      <c r="G3" s="27"/>
    </row>
    <row r="4" spans="2:7" ht="27.4" customHeight="1" x14ac:dyDescent="0.45">
      <c r="B4" s="20"/>
      <c r="C4" s="48"/>
      <c r="D4" s="48"/>
      <c r="E4" s="48"/>
      <c r="F4" s="48"/>
      <c r="G4" s="27"/>
    </row>
    <row r="5" spans="2:7" x14ac:dyDescent="0.45">
      <c r="B5" s="20"/>
      <c r="C5"/>
      <c r="D5"/>
      <c r="E5"/>
      <c r="F5"/>
      <c r="G5" s="27"/>
    </row>
    <row r="6" spans="2:7" ht="22.05" customHeight="1" x14ac:dyDescent="0.75">
      <c r="B6" s="20"/>
      <c r="C6" s="24"/>
      <c r="D6" s="32" t="s">
        <v>16</v>
      </c>
      <c r="E6" s="33"/>
      <c r="F6" s="37" t="s">
        <v>15</v>
      </c>
      <c r="G6" s="27"/>
    </row>
    <row r="7" spans="2:7" ht="8" customHeight="1" x14ac:dyDescent="0.75">
      <c r="B7" s="20"/>
      <c r="C7" s="24"/>
      <c r="D7" s="34"/>
      <c r="E7" s="33"/>
      <c r="F7" s="35"/>
      <c r="G7" s="27"/>
    </row>
    <row r="8" spans="2:7" ht="28.05" customHeight="1" x14ac:dyDescent="0.45">
      <c r="B8" s="20"/>
      <c r="C8" s="38" t="s">
        <v>2</v>
      </c>
      <c r="D8" s="36">
        <v>6.94</v>
      </c>
      <c r="E8" s="30" t="str">
        <f>IF(D8="", "*Required","")</f>
        <v/>
      </c>
      <c r="F8" s="37"/>
      <c r="G8" s="27"/>
    </row>
    <row r="9" spans="2:7" ht="8" customHeight="1" x14ac:dyDescent="0.65">
      <c r="B9" s="20"/>
      <c r="C9" s="39"/>
      <c r="D9" s="32"/>
      <c r="E9" s="31"/>
      <c r="F9" s="37"/>
      <c r="G9" s="27"/>
    </row>
    <row r="10" spans="2:7" ht="28.05" customHeight="1" x14ac:dyDescent="0.45">
      <c r="B10" s="20"/>
      <c r="C10" s="38" t="s">
        <v>1</v>
      </c>
      <c r="D10" s="36">
        <v>0.13</v>
      </c>
      <c r="E10" s="30" t="str">
        <f>IF(D10="", "*Required","")</f>
        <v/>
      </c>
      <c r="F10" s="37" t="s">
        <v>18</v>
      </c>
      <c r="G10" s="27"/>
    </row>
    <row r="11" spans="2:7" ht="8" customHeight="1" x14ac:dyDescent="0.65">
      <c r="B11" s="20"/>
      <c r="C11" s="39"/>
      <c r="D11" s="32"/>
      <c r="E11" s="31"/>
      <c r="F11" s="37"/>
      <c r="G11" s="27"/>
    </row>
    <row r="12" spans="2:7" ht="28.05" customHeight="1" x14ac:dyDescent="0.45">
      <c r="B12" s="20"/>
      <c r="C12" s="38" t="s">
        <v>3</v>
      </c>
      <c r="D12" s="36">
        <v>0.12</v>
      </c>
      <c r="E12" s="30" t="str">
        <f>IF(D12="", "*Required","")</f>
        <v/>
      </c>
      <c r="F12" s="37" t="s">
        <v>18</v>
      </c>
      <c r="G12" s="27"/>
    </row>
    <row r="13" spans="2:7" ht="8" customHeight="1" x14ac:dyDescent="0.65">
      <c r="B13" s="20"/>
      <c r="C13" s="39"/>
      <c r="D13" s="32"/>
      <c r="E13" s="31"/>
      <c r="F13" s="37"/>
      <c r="G13" s="27"/>
    </row>
    <row r="14" spans="2:7" ht="28.05" customHeight="1" x14ac:dyDescent="0.45">
      <c r="B14" s="20"/>
      <c r="C14" s="38" t="s">
        <v>6</v>
      </c>
      <c r="D14" s="36">
        <v>25.1</v>
      </c>
      <c r="E14" s="30" t="str">
        <f>IF(D14="", "*Required","")</f>
        <v/>
      </c>
      <c r="F14" s="37" t="s">
        <v>17</v>
      </c>
      <c r="G14" s="27"/>
    </row>
    <row r="15" spans="2:7" ht="8" customHeight="1" x14ac:dyDescent="0.65">
      <c r="B15" s="20"/>
      <c r="C15" s="39"/>
      <c r="D15" s="32"/>
      <c r="E15" s="31"/>
      <c r="F15" s="37"/>
      <c r="G15" s="27"/>
    </row>
    <row r="16" spans="2:7" ht="28.05" customHeight="1" x14ac:dyDescent="0.45">
      <c r="B16" s="20"/>
      <c r="C16" s="38" t="s">
        <v>7</v>
      </c>
      <c r="D16" s="36">
        <v>270</v>
      </c>
      <c r="E16" s="30" t="str">
        <f>IF(D16="", "*Required","")</f>
        <v/>
      </c>
      <c r="F16" s="37" t="s">
        <v>18</v>
      </c>
      <c r="G16" s="27"/>
    </row>
    <row r="17" spans="2:7" ht="8" customHeight="1" x14ac:dyDescent="0.65">
      <c r="B17" s="20"/>
      <c r="C17" s="39"/>
      <c r="D17" s="32"/>
      <c r="E17" s="31"/>
      <c r="F17" s="37"/>
      <c r="G17" s="27"/>
    </row>
    <row r="18" spans="2:7" ht="28.05" customHeight="1" x14ac:dyDescent="0.45">
      <c r="B18" s="20"/>
      <c r="C18" s="38" t="s">
        <v>8</v>
      </c>
      <c r="D18" s="36">
        <v>416</v>
      </c>
      <c r="E18" s="30" t="str">
        <f>IF(D18="", "*Required","")</f>
        <v/>
      </c>
      <c r="F18" s="37" t="s">
        <v>20</v>
      </c>
      <c r="G18" s="27"/>
    </row>
    <row r="19" spans="2:7" ht="8" customHeight="1" x14ac:dyDescent="0.65">
      <c r="B19" s="20"/>
      <c r="C19" s="39"/>
      <c r="D19" s="32"/>
      <c r="E19" s="31"/>
      <c r="F19" s="37"/>
      <c r="G19" s="27"/>
    </row>
    <row r="20" spans="2:7" ht="28.05" customHeight="1" x14ac:dyDescent="0.45">
      <c r="B20" s="20"/>
      <c r="C20" s="42" t="s">
        <v>9</v>
      </c>
      <c r="D20" s="45">
        <v>0.2</v>
      </c>
      <c r="E20" s="43" t="str">
        <f>IF(D20="", "*Required","")</f>
        <v/>
      </c>
      <c r="F20" s="44" t="s">
        <v>19</v>
      </c>
      <c r="G20" s="27"/>
    </row>
    <row r="21" spans="2:7" ht="8" customHeight="1" x14ac:dyDescent="0.65">
      <c r="B21" s="20"/>
      <c r="C21" s="39"/>
      <c r="D21" s="32"/>
      <c r="E21" s="31"/>
      <c r="F21" s="37"/>
      <c r="G21" s="27"/>
    </row>
    <row r="22" spans="2:7" ht="28.05" customHeight="1" x14ac:dyDescent="0.45">
      <c r="B22" s="20"/>
      <c r="C22" s="42" t="s">
        <v>10</v>
      </c>
      <c r="D22" s="45">
        <v>3.11</v>
      </c>
      <c r="E22" s="43" t="str">
        <f>IF(D22="", "*Required","")</f>
        <v/>
      </c>
      <c r="F22" s="44" t="s">
        <v>21</v>
      </c>
      <c r="G22" s="27"/>
    </row>
    <row r="23" spans="2:7" x14ac:dyDescent="0.45">
      <c r="B23" s="20"/>
      <c r="C23"/>
      <c r="D23"/>
      <c r="E23"/>
      <c r="F23"/>
      <c r="G23" s="27"/>
    </row>
    <row r="24" spans="2:7" x14ac:dyDescent="0.45">
      <c r="B24" s="20"/>
      <c r="C24"/>
      <c r="D24"/>
      <c r="E24"/>
      <c r="F24"/>
      <c r="G24" s="27"/>
    </row>
    <row r="25" spans="2:7" x14ac:dyDescent="0.45">
      <c r="B25" s="20"/>
      <c r="C25"/>
      <c r="D25"/>
      <c r="E25"/>
      <c r="F25"/>
      <c r="G25" s="27"/>
    </row>
    <row r="26" spans="2:7" ht="14.35" customHeight="1" x14ac:dyDescent="0.45">
      <c r="B26" s="20"/>
      <c r="C26"/>
      <c r="D26"/>
      <c r="E26"/>
      <c r="F26"/>
      <c r="G26" s="27"/>
    </row>
    <row r="27" spans="2:7" ht="14.35" customHeight="1" x14ac:dyDescent="0.45">
      <c r="B27" s="20"/>
      <c r="C27"/>
      <c r="D27"/>
      <c r="E27"/>
      <c r="F27"/>
      <c r="G27" s="27"/>
    </row>
    <row r="28" spans="2:7" ht="18" x14ac:dyDescent="0.55000000000000004">
      <c r="B28" s="20"/>
      <c r="C28" s="28" t="s">
        <v>4</v>
      </c>
      <c r="D28" s="29">
        <v>0.99999999983302978</v>
      </c>
      <c r="E28"/>
      <c r="F28"/>
      <c r="G28" s="27"/>
    </row>
    <row r="29" spans="2:7" ht="8" customHeight="1" x14ac:dyDescent="0.45">
      <c r="B29" s="20"/>
      <c r="C29" s="25"/>
      <c r="D29"/>
      <c r="E29"/>
      <c r="F29"/>
      <c r="G29" s="27"/>
    </row>
    <row r="30" spans="2:7" ht="22.15" customHeight="1" x14ac:dyDescent="0.45">
      <c r="B30" s="20"/>
      <c r="C30" s="49" t="s">
        <v>25</v>
      </c>
      <c r="D30" s="50" t="s">
        <v>33</v>
      </c>
      <c r="E30"/>
      <c r="F30"/>
      <c r="G30" s="27"/>
    </row>
    <row r="31" spans="2:7" ht="8" customHeight="1" x14ac:dyDescent="0.45">
      <c r="B31" s="20"/>
      <c r="C31" s="49"/>
      <c r="D31" s="50"/>
      <c r="E31"/>
      <c r="F31"/>
      <c r="G31" s="27"/>
    </row>
    <row r="32" spans="2:7" ht="8" customHeight="1" x14ac:dyDescent="0.45">
      <c r="B32" s="20"/>
      <c r="C32"/>
      <c r="D32"/>
      <c r="E32"/>
      <c r="F32"/>
      <c r="G32" s="27"/>
    </row>
    <row r="33" spans="2:7" x14ac:dyDescent="0.45">
      <c r="B33" s="21"/>
      <c r="C33" s="18"/>
      <c r="D33" s="18"/>
      <c r="E33" s="18"/>
      <c r="F33" s="18"/>
      <c r="G33" s="10"/>
    </row>
  </sheetData>
  <mergeCells count="3">
    <mergeCell ref="C3:F4"/>
    <mergeCell ref="C30:C31"/>
    <mergeCell ref="D30:D31"/>
  </mergeCells>
  <conditionalFormatting sqref="D30">
    <cfRule type="cellIs" dxfId="19" priority="1" operator="equal">
      <formula>"NO FISH KILL"</formula>
    </cfRule>
    <cfRule type="cellIs" dxfId="18" priority="2" operator="equal">
      <formula>"FISH KILL"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PredictFishKill_Reduced_6">
                <anchor moveWithCells="1" sizeWithCells="1">
                  <from>
                    <xdr:col>3</xdr:col>
                    <xdr:colOff>9525</xdr:colOff>
                    <xdr:row>23</xdr:row>
                    <xdr:rowOff>71438</xdr:rowOff>
                  </from>
                  <to>
                    <xdr:col>3</xdr:col>
                    <xdr:colOff>1738313</xdr:colOff>
                    <xdr:row>25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CB642-5DDF-4DD4-9D02-63CF54FE6588}">
  <sheetPr codeName="Sheet7"/>
  <dimension ref="B2:G33"/>
  <sheetViews>
    <sheetView showGridLines="0" zoomScale="40" zoomScaleNormal="40" workbookViewId="0">
      <selection activeCell="D30" sqref="D30:D31"/>
    </sheetView>
  </sheetViews>
  <sheetFormatPr defaultRowHeight="14.25" x14ac:dyDescent="0.45"/>
  <cols>
    <col min="1" max="1" width="9.06640625" style="11"/>
    <col min="2" max="2" width="1.59765625" style="11" customWidth="1"/>
    <col min="3" max="3" width="40.59765625" style="11" customWidth="1"/>
    <col min="4" max="4" width="24.59765625" style="11" customWidth="1"/>
    <col min="5" max="5" width="10.73046875" style="11" customWidth="1"/>
    <col min="6" max="6" width="24.59765625" style="11" customWidth="1"/>
    <col min="7" max="7" width="1.59765625" style="11" customWidth="1"/>
    <col min="8" max="16384" width="9.06640625" style="11"/>
  </cols>
  <sheetData>
    <row r="2" spans="2:7" ht="8" customHeight="1" x14ac:dyDescent="0.45">
      <c r="B2" s="19"/>
      <c r="C2" s="17"/>
      <c r="D2" s="17"/>
      <c r="E2" s="17"/>
      <c r="F2" s="17"/>
      <c r="G2" s="26"/>
    </row>
    <row r="3" spans="2:7" ht="14.25" customHeight="1" x14ac:dyDescent="0.45">
      <c r="B3" s="20"/>
      <c r="C3" s="48" t="s">
        <v>22</v>
      </c>
      <c r="D3" s="48"/>
      <c r="E3" s="48"/>
      <c r="F3" s="48"/>
      <c r="G3" s="27"/>
    </row>
    <row r="4" spans="2:7" ht="27.4" customHeight="1" x14ac:dyDescent="0.45">
      <c r="B4" s="20"/>
      <c r="C4" s="48"/>
      <c r="D4" s="48"/>
      <c r="E4" s="48"/>
      <c r="F4" s="48"/>
      <c r="G4" s="27"/>
    </row>
    <row r="5" spans="2:7" x14ac:dyDescent="0.45">
      <c r="B5" s="20"/>
      <c r="C5"/>
      <c r="D5"/>
      <c r="E5"/>
      <c r="F5"/>
      <c r="G5" s="27"/>
    </row>
    <row r="6" spans="2:7" ht="22.05" customHeight="1" x14ac:dyDescent="0.75">
      <c r="B6" s="20"/>
      <c r="C6" s="24"/>
      <c r="D6" s="32" t="s">
        <v>16</v>
      </c>
      <c r="E6" s="33"/>
      <c r="F6" s="37" t="s">
        <v>15</v>
      </c>
      <c r="G6" s="27"/>
    </row>
    <row r="7" spans="2:7" ht="8" customHeight="1" x14ac:dyDescent="0.75">
      <c r="B7" s="20"/>
      <c r="C7" s="24"/>
      <c r="D7" s="34"/>
      <c r="E7" s="33"/>
      <c r="F7" s="35"/>
      <c r="G7" s="27"/>
    </row>
    <row r="8" spans="2:7" ht="28.05" customHeight="1" x14ac:dyDescent="0.45">
      <c r="B8" s="20"/>
      <c r="C8" s="38" t="s">
        <v>2</v>
      </c>
      <c r="D8" s="36">
        <v>6.89</v>
      </c>
      <c r="E8" s="30" t="str">
        <f>IF(D8="", "*Required","")</f>
        <v/>
      </c>
      <c r="F8" s="37"/>
      <c r="G8" s="27"/>
    </row>
    <row r="9" spans="2:7" ht="8" customHeight="1" x14ac:dyDescent="0.65">
      <c r="B9" s="20"/>
      <c r="C9" s="39"/>
      <c r="D9" s="32"/>
      <c r="E9" s="31"/>
      <c r="F9" s="37"/>
      <c r="G9" s="27"/>
    </row>
    <row r="10" spans="2:7" ht="28.05" customHeight="1" x14ac:dyDescent="0.45">
      <c r="B10" s="20"/>
      <c r="C10" s="38" t="s">
        <v>1</v>
      </c>
      <c r="D10" s="36">
        <v>0.09</v>
      </c>
      <c r="E10" s="30" t="str">
        <f>IF(D10="", "*Required","")</f>
        <v/>
      </c>
      <c r="F10" s="37" t="s">
        <v>18</v>
      </c>
      <c r="G10" s="27"/>
    </row>
    <row r="11" spans="2:7" ht="8" customHeight="1" x14ac:dyDescent="0.65">
      <c r="B11" s="20"/>
      <c r="C11" s="39"/>
      <c r="D11" s="32"/>
      <c r="E11" s="31"/>
      <c r="F11" s="37"/>
      <c r="G11" s="27"/>
    </row>
    <row r="12" spans="2:7" ht="28.05" customHeight="1" x14ac:dyDescent="0.45">
      <c r="B12" s="20"/>
      <c r="C12" s="38" t="s">
        <v>3</v>
      </c>
      <c r="D12" s="36">
        <v>0.1</v>
      </c>
      <c r="E12" s="30" t="str">
        <f>IF(D12="", "*Required","")</f>
        <v/>
      </c>
      <c r="F12" s="37" t="s">
        <v>18</v>
      </c>
      <c r="G12" s="27"/>
    </row>
    <row r="13" spans="2:7" ht="8" customHeight="1" x14ac:dyDescent="0.65">
      <c r="B13" s="20"/>
      <c r="C13" s="39"/>
      <c r="D13" s="32"/>
      <c r="E13" s="31"/>
      <c r="F13" s="37"/>
      <c r="G13" s="27"/>
    </row>
    <row r="14" spans="2:7" ht="28.05" customHeight="1" x14ac:dyDescent="0.45">
      <c r="B14" s="20"/>
      <c r="C14" s="38" t="s">
        <v>6</v>
      </c>
      <c r="D14" s="36">
        <v>25.1</v>
      </c>
      <c r="E14" s="30" t="str">
        <f>IF(D14="", "*Required","")</f>
        <v/>
      </c>
      <c r="F14" s="37" t="s">
        <v>17</v>
      </c>
      <c r="G14" s="27"/>
    </row>
    <row r="15" spans="2:7" ht="8" customHeight="1" x14ac:dyDescent="0.65">
      <c r="B15" s="20"/>
      <c r="C15" s="39"/>
      <c r="D15" s="32"/>
      <c r="E15" s="31"/>
      <c r="F15" s="37"/>
      <c r="G15" s="27"/>
    </row>
    <row r="16" spans="2:7" ht="28.05" customHeight="1" x14ac:dyDescent="0.45">
      <c r="B16" s="20"/>
      <c r="C16" s="38" t="s">
        <v>7</v>
      </c>
      <c r="D16" s="36">
        <v>270</v>
      </c>
      <c r="E16" s="30" t="str">
        <f>IF(D16="", "*Required","")</f>
        <v/>
      </c>
      <c r="F16" s="37" t="s">
        <v>18</v>
      </c>
      <c r="G16" s="27"/>
    </row>
    <row r="17" spans="2:7" ht="8" customHeight="1" x14ac:dyDescent="0.65">
      <c r="B17" s="20"/>
      <c r="C17" s="39"/>
      <c r="D17" s="32"/>
      <c r="E17" s="31"/>
      <c r="F17" s="37"/>
      <c r="G17" s="27"/>
    </row>
    <row r="18" spans="2:7" ht="28.05" customHeight="1" x14ac:dyDescent="0.45">
      <c r="B18" s="20"/>
      <c r="C18" s="42" t="s">
        <v>8</v>
      </c>
      <c r="D18" s="45">
        <v>415.2</v>
      </c>
      <c r="E18" s="43" t="str">
        <f>IF(D18="", "*Required","")</f>
        <v/>
      </c>
      <c r="F18" s="44" t="s">
        <v>20</v>
      </c>
      <c r="G18" s="27"/>
    </row>
    <row r="19" spans="2:7" ht="8" customHeight="1" x14ac:dyDescent="0.65">
      <c r="B19" s="20"/>
      <c r="C19" s="39"/>
      <c r="D19" s="32"/>
      <c r="E19" s="31"/>
      <c r="F19" s="37"/>
      <c r="G19" s="27"/>
    </row>
    <row r="20" spans="2:7" ht="28.05" customHeight="1" x14ac:dyDescent="0.45">
      <c r="B20" s="20"/>
      <c r="C20" s="42" t="s">
        <v>9</v>
      </c>
      <c r="D20" s="45">
        <v>0.2</v>
      </c>
      <c r="E20" s="43" t="str">
        <f>IF(D20="", "*Required","")</f>
        <v/>
      </c>
      <c r="F20" s="44" t="s">
        <v>19</v>
      </c>
      <c r="G20" s="27"/>
    </row>
    <row r="21" spans="2:7" ht="8" customHeight="1" x14ac:dyDescent="0.65">
      <c r="B21" s="20"/>
      <c r="C21" s="39"/>
      <c r="D21" s="32"/>
      <c r="E21" s="31"/>
      <c r="F21" s="37"/>
      <c r="G21" s="27"/>
    </row>
    <row r="22" spans="2:7" ht="28.05" customHeight="1" x14ac:dyDescent="0.45">
      <c r="B22" s="20"/>
      <c r="C22" s="42" t="s">
        <v>10</v>
      </c>
      <c r="D22" s="45">
        <v>3.11</v>
      </c>
      <c r="E22" s="43" t="str">
        <f>IF(D22="", "*Required","")</f>
        <v/>
      </c>
      <c r="F22" s="44" t="s">
        <v>21</v>
      </c>
      <c r="G22" s="27"/>
    </row>
    <row r="23" spans="2:7" x14ac:dyDescent="0.45">
      <c r="B23" s="20"/>
      <c r="C23"/>
      <c r="D23"/>
      <c r="E23"/>
      <c r="F23"/>
      <c r="G23" s="27"/>
    </row>
    <row r="24" spans="2:7" x14ac:dyDescent="0.45">
      <c r="B24" s="20"/>
      <c r="C24"/>
      <c r="D24"/>
      <c r="E24"/>
      <c r="F24"/>
      <c r="G24" s="27"/>
    </row>
    <row r="25" spans="2:7" x14ac:dyDescent="0.45">
      <c r="B25" s="20"/>
      <c r="C25"/>
      <c r="D25"/>
      <c r="E25"/>
      <c r="F25"/>
      <c r="G25" s="27"/>
    </row>
    <row r="26" spans="2:7" ht="14.35" customHeight="1" x14ac:dyDescent="0.45">
      <c r="B26" s="20"/>
      <c r="C26"/>
      <c r="D26"/>
      <c r="E26"/>
      <c r="F26"/>
      <c r="G26" s="27"/>
    </row>
    <row r="27" spans="2:7" ht="14.35" customHeight="1" x14ac:dyDescent="0.45">
      <c r="B27" s="20"/>
      <c r="C27"/>
      <c r="D27"/>
      <c r="E27"/>
      <c r="F27"/>
      <c r="G27" s="27"/>
    </row>
    <row r="28" spans="2:7" ht="18" x14ac:dyDescent="0.55000000000000004">
      <c r="B28" s="20"/>
      <c r="C28" s="28" t="s">
        <v>4</v>
      </c>
      <c r="D28" s="29">
        <v>0.99999996865642649</v>
      </c>
      <c r="E28"/>
      <c r="F28"/>
      <c r="G28" s="27"/>
    </row>
    <row r="29" spans="2:7" ht="8" customHeight="1" x14ac:dyDescent="0.45">
      <c r="B29" s="20"/>
      <c r="C29" s="25"/>
      <c r="D29"/>
      <c r="E29"/>
      <c r="F29"/>
      <c r="G29" s="27"/>
    </row>
    <row r="30" spans="2:7" ht="22.15" customHeight="1" x14ac:dyDescent="0.45">
      <c r="B30" s="20"/>
      <c r="C30" s="49" t="s">
        <v>25</v>
      </c>
      <c r="D30" s="50" t="s">
        <v>33</v>
      </c>
      <c r="E30"/>
      <c r="F30"/>
      <c r="G30" s="27"/>
    </row>
    <row r="31" spans="2:7" ht="8" customHeight="1" x14ac:dyDescent="0.45">
      <c r="B31" s="20"/>
      <c r="C31" s="49"/>
      <c r="D31" s="50"/>
      <c r="E31"/>
      <c r="F31"/>
      <c r="G31" s="27"/>
    </row>
    <row r="32" spans="2:7" ht="8" customHeight="1" x14ac:dyDescent="0.45">
      <c r="B32" s="20"/>
      <c r="C32"/>
      <c r="D32"/>
      <c r="E32"/>
      <c r="F32"/>
      <c r="G32" s="27"/>
    </row>
    <row r="33" spans="2:7" x14ac:dyDescent="0.45">
      <c r="B33" s="21"/>
      <c r="C33" s="18"/>
      <c r="D33" s="18"/>
      <c r="E33" s="18"/>
      <c r="F33" s="18"/>
      <c r="G33" s="10"/>
    </row>
  </sheetData>
  <mergeCells count="3">
    <mergeCell ref="C3:F4"/>
    <mergeCell ref="C30:C31"/>
    <mergeCell ref="D30:D31"/>
  </mergeCells>
  <conditionalFormatting sqref="D30">
    <cfRule type="cellIs" dxfId="15" priority="1" operator="equal">
      <formula>"NO FISH KILL"</formula>
    </cfRule>
    <cfRule type="cellIs" dxfId="14" priority="2" operator="equal">
      <formula>"FISH KILL"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PredictFishKill_Reduced_5">
                <anchor moveWithCells="1" sizeWithCells="1">
                  <from>
                    <xdr:col>3</xdr:col>
                    <xdr:colOff>9525</xdr:colOff>
                    <xdr:row>23</xdr:row>
                    <xdr:rowOff>71438</xdr:rowOff>
                  </from>
                  <to>
                    <xdr:col>3</xdr:col>
                    <xdr:colOff>1738313</xdr:colOff>
                    <xdr:row>25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52243-D18D-4095-A904-36FFFABFF37C}">
  <sheetPr codeName="Sheet8"/>
  <dimension ref="B2:G33"/>
  <sheetViews>
    <sheetView showGridLines="0" zoomScale="40" zoomScaleNormal="40" workbookViewId="0">
      <selection activeCell="D30" sqref="D30:D31"/>
    </sheetView>
  </sheetViews>
  <sheetFormatPr defaultRowHeight="14.25" x14ac:dyDescent="0.45"/>
  <cols>
    <col min="1" max="1" width="9.06640625" style="11"/>
    <col min="2" max="2" width="1.59765625" style="11" customWidth="1"/>
    <col min="3" max="3" width="40.59765625" style="11" customWidth="1"/>
    <col min="4" max="4" width="24.59765625" style="11" customWidth="1"/>
    <col min="5" max="5" width="10.73046875" style="11" customWidth="1"/>
    <col min="6" max="6" width="24.59765625" style="11" customWidth="1"/>
    <col min="7" max="7" width="1.59765625" style="11" customWidth="1"/>
    <col min="8" max="16384" width="9.06640625" style="11"/>
  </cols>
  <sheetData>
    <row r="2" spans="2:7" ht="8" customHeight="1" x14ac:dyDescent="0.45">
      <c r="B2" s="19"/>
      <c r="C2" s="17"/>
      <c r="D2" s="17"/>
      <c r="E2" s="17"/>
      <c r="F2" s="17"/>
      <c r="G2" s="26"/>
    </row>
    <row r="3" spans="2:7" ht="14.25" customHeight="1" x14ac:dyDescent="0.45">
      <c r="B3" s="20"/>
      <c r="C3" s="48" t="s">
        <v>22</v>
      </c>
      <c r="D3" s="48"/>
      <c r="E3" s="48"/>
      <c r="F3" s="48"/>
      <c r="G3" s="27"/>
    </row>
    <row r="4" spans="2:7" ht="27.4" customHeight="1" x14ac:dyDescent="0.45">
      <c r="B4" s="20"/>
      <c r="C4" s="48"/>
      <c r="D4" s="48"/>
      <c r="E4" s="48"/>
      <c r="F4" s="48"/>
      <c r="G4" s="27"/>
    </row>
    <row r="5" spans="2:7" x14ac:dyDescent="0.45">
      <c r="B5" s="20"/>
      <c r="C5"/>
      <c r="D5"/>
      <c r="E5"/>
      <c r="F5"/>
      <c r="G5" s="27"/>
    </row>
    <row r="6" spans="2:7" ht="22.05" customHeight="1" x14ac:dyDescent="0.75">
      <c r="B6" s="20"/>
      <c r="C6" s="24"/>
      <c r="D6" s="32" t="s">
        <v>16</v>
      </c>
      <c r="E6" s="33"/>
      <c r="F6" s="37" t="s">
        <v>15</v>
      </c>
      <c r="G6" s="27"/>
    </row>
    <row r="7" spans="2:7" ht="8" customHeight="1" x14ac:dyDescent="0.75">
      <c r="B7" s="20"/>
      <c r="C7" s="24"/>
      <c r="D7" s="34"/>
      <c r="E7" s="33"/>
      <c r="F7" s="35"/>
      <c r="G7" s="27"/>
    </row>
    <row r="8" spans="2:7" ht="28.05" customHeight="1" x14ac:dyDescent="0.45">
      <c r="B8" s="20"/>
      <c r="C8" s="38" t="s">
        <v>2</v>
      </c>
      <c r="D8" s="36">
        <v>6.86</v>
      </c>
      <c r="E8" s="30" t="str">
        <f>IF(D8="", "*Required","")</f>
        <v/>
      </c>
      <c r="F8" s="37"/>
      <c r="G8" s="27"/>
    </row>
    <row r="9" spans="2:7" ht="8" customHeight="1" x14ac:dyDescent="0.65">
      <c r="B9" s="20"/>
      <c r="C9" s="39"/>
      <c r="D9" s="32"/>
      <c r="E9" s="31"/>
      <c r="F9" s="37"/>
      <c r="G9" s="27"/>
    </row>
    <row r="10" spans="2:7" ht="28.05" customHeight="1" x14ac:dyDescent="0.45">
      <c r="B10" s="20"/>
      <c r="C10" s="38" t="s">
        <v>1</v>
      </c>
      <c r="D10" s="36">
        <v>7.0000000000000007E-2</v>
      </c>
      <c r="E10" s="30" t="str">
        <f>IF(D10="", "*Required","")</f>
        <v/>
      </c>
      <c r="F10" s="37" t="s">
        <v>18</v>
      </c>
      <c r="G10" s="27"/>
    </row>
    <row r="11" spans="2:7" ht="8" customHeight="1" x14ac:dyDescent="0.65">
      <c r="B11" s="20"/>
      <c r="C11" s="39"/>
      <c r="D11" s="32"/>
      <c r="E11" s="31"/>
      <c r="F11" s="37"/>
      <c r="G11" s="27"/>
    </row>
    <row r="12" spans="2:7" ht="28.05" customHeight="1" x14ac:dyDescent="0.45">
      <c r="B12" s="20"/>
      <c r="C12" s="38" t="s">
        <v>3</v>
      </c>
      <c r="D12" s="36">
        <v>0.1</v>
      </c>
      <c r="E12" s="30" t="str">
        <f>IF(D12="", "*Required","")</f>
        <v/>
      </c>
      <c r="F12" s="37" t="s">
        <v>18</v>
      </c>
      <c r="G12" s="27"/>
    </row>
    <row r="13" spans="2:7" ht="8" customHeight="1" x14ac:dyDescent="0.65">
      <c r="B13" s="20"/>
      <c r="C13" s="39"/>
      <c r="D13" s="32"/>
      <c r="E13" s="31"/>
      <c r="F13" s="37"/>
      <c r="G13" s="27"/>
    </row>
    <row r="14" spans="2:7" ht="28.05" customHeight="1" x14ac:dyDescent="0.45">
      <c r="B14" s="20"/>
      <c r="C14" s="38" t="s">
        <v>6</v>
      </c>
      <c r="D14" s="36">
        <v>25.1</v>
      </c>
      <c r="E14" s="30" t="str">
        <f>IF(D14="", "*Required","")</f>
        <v/>
      </c>
      <c r="F14" s="37" t="s">
        <v>17</v>
      </c>
      <c r="G14" s="27"/>
    </row>
    <row r="15" spans="2:7" ht="8" customHeight="1" x14ac:dyDescent="0.65">
      <c r="B15" s="20"/>
      <c r="C15" s="39"/>
      <c r="D15" s="32"/>
      <c r="E15" s="31"/>
      <c r="F15" s="37"/>
      <c r="G15" s="27"/>
    </row>
    <row r="16" spans="2:7" ht="28.05" customHeight="1" x14ac:dyDescent="0.45">
      <c r="B16" s="20"/>
      <c r="C16" s="42" t="s">
        <v>7</v>
      </c>
      <c r="D16" s="45">
        <v>270</v>
      </c>
      <c r="E16" s="43" t="str">
        <f>IF(D16="", "*Required","")</f>
        <v/>
      </c>
      <c r="F16" s="44" t="s">
        <v>18</v>
      </c>
      <c r="G16" s="27"/>
    </row>
    <row r="17" spans="2:7" ht="8" customHeight="1" x14ac:dyDescent="0.65">
      <c r="B17" s="20"/>
      <c r="C17" s="46"/>
      <c r="D17" s="45"/>
      <c r="E17" s="47"/>
      <c r="F17" s="44"/>
      <c r="G17" s="27"/>
    </row>
    <row r="18" spans="2:7" ht="28.05" customHeight="1" x14ac:dyDescent="0.45">
      <c r="B18" s="20"/>
      <c r="C18" s="42" t="s">
        <v>8</v>
      </c>
      <c r="D18" s="45">
        <v>415.2</v>
      </c>
      <c r="E18" s="43" t="str">
        <f>IF(D18="", "*Required","")</f>
        <v/>
      </c>
      <c r="F18" s="44" t="s">
        <v>20</v>
      </c>
      <c r="G18" s="27"/>
    </row>
    <row r="19" spans="2:7" ht="8" customHeight="1" x14ac:dyDescent="0.65">
      <c r="B19" s="20"/>
      <c r="C19" s="39"/>
      <c r="D19" s="32"/>
      <c r="E19" s="31"/>
      <c r="F19" s="37"/>
      <c r="G19" s="27"/>
    </row>
    <row r="20" spans="2:7" ht="28.05" customHeight="1" x14ac:dyDescent="0.45">
      <c r="B20" s="20"/>
      <c r="C20" s="42" t="s">
        <v>9</v>
      </c>
      <c r="D20" s="45">
        <v>0.2</v>
      </c>
      <c r="E20" s="43" t="str">
        <f>IF(D20="", "*Required","")</f>
        <v/>
      </c>
      <c r="F20" s="44" t="s">
        <v>19</v>
      </c>
      <c r="G20" s="27"/>
    </row>
    <row r="21" spans="2:7" ht="8" customHeight="1" x14ac:dyDescent="0.65">
      <c r="B21" s="20"/>
      <c r="C21" s="39"/>
      <c r="D21" s="32"/>
      <c r="E21" s="31"/>
      <c r="F21" s="37"/>
      <c r="G21" s="27"/>
    </row>
    <row r="22" spans="2:7" ht="28.05" customHeight="1" x14ac:dyDescent="0.45">
      <c r="B22" s="20"/>
      <c r="C22" s="42" t="s">
        <v>10</v>
      </c>
      <c r="D22" s="45">
        <v>3.11</v>
      </c>
      <c r="E22" s="43" t="str">
        <f>IF(D22="", "*Required","")</f>
        <v/>
      </c>
      <c r="F22" s="44" t="s">
        <v>21</v>
      </c>
      <c r="G22" s="27"/>
    </row>
    <row r="23" spans="2:7" x14ac:dyDescent="0.45">
      <c r="B23" s="20"/>
      <c r="C23"/>
      <c r="D23"/>
      <c r="E23"/>
      <c r="F23"/>
      <c r="G23" s="27"/>
    </row>
    <row r="24" spans="2:7" x14ac:dyDescent="0.45">
      <c r="B24" s="20"/>
      <c r="C24"/>
      <c r="D24"/>
      <c r="E24"/>
      <c r="F24"/>
      <c r="G24" s="27"/>
    </row>
    <row r="25" spans="2:7" x14ac:dyDescent="0.45">
      <c r="B25" s="20"/>
      <c r="C25"/>
      <c r="D25"/>
      <c r="E25"/>
      <c r="F25"/>
      <c r="G25" s="27"/>
    </row>
    <row r="26" spans="2:7" ht="14.35" customHeight="1" x14ac:dyDescent="0.45">
      <c r="B26" s="20"/>
      <c r="C26"/>
      <c r="D26"/>
      <c r="E26"/>
      <c r="F26"/>
      <c r="G26" s="27"/>
    </row>
    <row r="27" spans="2:7" ht="14.35" customHeight="1" x14ac:dyDescent="0.45">
      <c r="B27" s="20"/>
      <c r="C27"/>
      <c r="D27"/>
      <c r="E27"/>
      <c r="F27"/>
      <c r="G27" s="27"/>
    </row>
    <row r="28" spans="2:7" ht="18" x14ac:dyDescent="0.55000000000000004">
      <c r="B28" s="20"/>
      <c r="C28" s="28" t="s">
        <v>4</v>
      </c>
      <c r="D28" s="29">
        <v>0.99973366891359383</v>
      </c>
      <c r="E28"/>
      <c r="F28"/>
      <c r="G28" s="27"/>
    </row>
    <row r="29" spans="2:7" ht="8" customHeight="1" x14ac:dyDescent="0.45">
      <c r="B29" s="20"/>
      <c r="C29" s="25"/>
      <c r="D29"/>
      <c r="E29"/>
      <c r="F29"/>
      <c r="G29" s="27"/>
    </row>
    <row r="30" spans="2:7" ht="22.15" customHeight="1" x14ac:dyDescent="0.45">
      <c r="B30" s="20"/>
      <c r="C30" s="49" t="s">
        <v>25</v>
      </c>
      <c r="D30" s="50" t="s">
        <v>33</v>
      </c>
      <c r="E30"/>
      <c r="F30"/>
      <c r="G30" s="27"/>
    </row>
    <row r="31" spans="2:7" ht="8" customHeight="1" x14ac:dyDescent="0.45">
      <c r="B31" s="20"/>
      <c r="C31" s="49"/>
      <c r="D31" s="50"/>
      <c r="E31"/>
      <c r="F31"/>
      <c r="G31" s="27"/>
    </row>
    <row r="32" spans="2:7" ht="8" customHeight="1" x14ac:dyDescent="0.45">
      <c r="B32" s="20"/>
      <c r="C32"/>
      <c r="D32"/>
      <c r="E32"/>
      <c r="F32"/>
      <c r="G32" s="27"/>
    </row>
    <row r="33" spans="2:7" x14ac:dyDescent="0.45">
      <c r="B33" s="21"/>
      <c r="C33" s="18"/>
      <c r="D33" s="18"/>
      <c r="E33" s="18"/>
      <c r="F33" s="18"/>
      <c r="G33" s="10"/>
    </row>
  </sheetData>
  <mergeCells count="3">
    <mergeCell ref="C3:F4"/>
    <mergeCell ref="C30:C31"/>
    <mergeCell ref="D30:D31"/>
  </mergeCells>
  <conditionalFormatting sqref="D30">
    <cfRule type="cellIs" dxfId="11" priority="1" operator="equal">
      <formula>"NO FISH KILL"</formula>
    </cfRule>
    <cfRule type="cellIs" dxfId="10" priority="2" operator="equal">
      <formula>"FISH KILL"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PredictFishKill_Reduced_4">
                <anchor moveWithCells="1" sizeWithCells="1">
                  <from>
                    <xdr:col>3</xdr:col>
                    <xdr:colOff>9525</xdr:colOff>
                    <xdr:row>23</xdr:row>
                    <xdr:rowOff>71438</xdr:rowOff>
                  </from>
                  <to>
                    <xdr:col>3</xdr:col>
                    <xdr:colOff>1738313</xdr:colOff>
                    <xdr:row>25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3E27A-3EA6-44C6-8D5B-36C1994C09DA}">
  <sheetPr codeName="Sheet9"/>
  <dimension ref="B2:G33"/>
  <sheetViews>
    <sheetView showGridLines="0" zoomScale="40" zoomScaleNormal="40" workbookViewId="0">
      <selection activeCell="D30" sqref="D30:D31"/>
    </sheetView>
  </sheetViews>
  <sheetFormatPr defaultRowHeight="14.25" x14ac:dyDescent="0.45"/>
  <cols>
    <col min="1" max="1" width="9.06640625" style="11"/>
    <col min="2" max="2" width="1.59765625" style="11" customWidth="1"/>
    <col min="3" max="3" width="40.59765625" style="11" customWidth="1"/>
    <col min="4" max="4" width="24.59765625" style="11" customWidth="1"/>
    <col min="5" max="5" width="10.73046875" style="11" customWidth="1"/>
    <col min="6" max="6" width="24.59765625" style="11" customWidth="1"/>
    <col min="7" max="7" width="1.59765625" style="11" customWidth="1"/>
    <col min="8" max="16384" width="9.06640625" style="11"/>
  </cols>
  <sheetData>
    <row r="2" spans="2:7" ht="8" customHeight="1" x14ac:dyDescent="0.45">
      <c r="B2" s="19"/>
      <c r="C2" s="17"/>
      <c r="D2" s="17"/>
      <c r="E2" s="17"/>
      <c r="F2" s="17"/>
      <c r="G2" s="26"/>
    </row>
    <row r="3" spans="2:7" ht="14.25" customHeight="1" x14ac:dyDescent="0.45">
      <c r="B3" s="20"/>
      <c r="C3" s="48" t="s">
        <v>22</v>
      </c>
      <c r="D3" s="48"/>
      <c r="E3" s="48"/>
      <c r="F3" s="48"/>
      <c r="G3" s="27"/>
    </row>
    <row r="4" spans="2:7" ht="27.4" customHeight="1" x14ac:dyDescent="0.45">
      <c r="B4" s="20"/>
      <c r="C4" s="48"/>
      <c r="D4" s="48"/>
      <c r="E4" s="48"/>
      <c r="F4" s="48"/>
      <c r="G4" s="27"/>
    </row>
    <row r="5" spans="2:7" x14ac:dyDescent="0.45">
      <c r="B5" s="20"/>
      <c r="C5"/>
      <c r="D5"/>
      <c r="E5"/>
      <c r="F5"/>
      <c r="G5" s="27"/>
    </row>
    <row r="6" spans="2:7" ht="22.05" customHeight="1" x14ac:dyDescent="0.75">
      <c r="B6" s="20"/>
      <c r="C6" s="24"/>
      <c r="D6" s="32" t="s">
        <v>16</v>
      </c>
      <c r="E6" s="33"/>
      <c r="F6" s="37" t="s">
        <v>15</v>
      </c>
      <c r="G6" s="27"/>
    </row>
    <row r="7" spans="2:7" ht="8" customHeight="1" x14ac:dyDescent="0.75">
      <c r="B7" s="20"/>
      <c r="C7" s="24"/>
      <c r="D7" s="34"/>
      <c r="E7" s="33"/>
      <c r="F7" s="35"/>
      <c r="G7" s="27"/>
    </row>
    <row r="8" spans="2:7" ht="28.05" customHeight="1" x14ac:dyDescent="0.45">
      <c r="B8" s="20"/>
      <c r="C8" s="38" t="s">
        <v>2</v>
      </c>
      <c r="D8" s="36">
        <v>7.26</v>
      </c>
      <c r="E8" s="30" t="str">
        <f>IF(D8="", "*Required","")</f>
        <v/>
      </c>
      <c r="F8" s="37"/>
      <c r="G8" s="27"/>
    </row>
    <row r="9" spans="2:7" ht="8" customHeight="1" x14ac:dyDescent="0.65">
      <c r="B9" s="20"/>
      <c r="C9" s="39"/>
      <c r="D9" s="32"/>
      <c r="E9" s="31"/>
      <c r="F9" s="37"/>
      <c r="G9" s="27"/>
    </row>
    <row r="10" spans="2:7" ht="28.05" customHeight="1" x14ac:dyDescent="0.45">
      <c r="B10" s="20"/>
      <c r="C10" s="38" t="s">
        <v>1</v>
      </c>
      <c r="D10" s="36">
        <v>0.28000000000000003</v>
      </c>
      <c r="E10" s="30" t="str">
        <f>IF(D10="", "*Required","")</f>
        <v/>
      </c>
      <c r="F10" s="37" t="s">
        <v>18</v>
      </c>
      <c r="G10" s="27"/>
    </row>
    <row r="11" spans="2:7" ht="8" customHeight="1" x14ac:dyDescent="0.65">
      <c r="B11" s="20"/>
      <c r="C11" s="39"/>
      <c r="D11" s="32"/>
      <c r="E11" s="31"/>
      <c r="F11" s="37"/>
      <c r="G11" s="27"/>
    </row>
    <row r="12" spans="2:7" ht="28.05" customHeight="1" x14ac:dyDescent="0.45">
      <c r="B12" s="20"/>
      <c r="C12" s="38" t="s">
        <v>3</v>
      </c>
      <c r="D12" s="36">
        <v>0.09</v>
      </c>
      <c r="E12" s="30" t="str">
        <f>IF(D12="", "*Required","")</f>
        <v/>
      </c>
      <c r="F12" s="37" t="s">
        <v>18</v>
      </c>
      <c r="G12" s="27"/>
    </row>
    <row r="13" spans="2:7" ht="8" customHeight="1" x14ac:dyDescent="0.65">
      <c r="B13" s="20"/>
      <c r="C13" s="39"/>
      <c r="D13" s="32"/>
      <c r="E13" s="31"/>
      <c r="F13" s="37"/>
      <c r="G13" s="27"/>
    </row>
    <row r="14" spans="2:7" ht="28.05" customHeight="1" x14ac:dyDescent="0.45">
      <c r="B14" s="20"/>
      <c r="C14" s="42" t="s">
        <v>6</v>
      </c>
      <c r="D14" s="45">
        <v>25.1</v>
      </c>
      <c r="E14" s="43" t="str">
        <f>IF(D14="", "*Required","")</f>
        <v/>
      </c>
      <c r="F14" s="44" t="s">
        <v>17</v>
      </c>
      <c r="G14" s="27"/>
    </row>
    <row r="15" spans="2:7" ht="8" customHeight="1" x14ac:dyDescent="0.65">
      <c r="B15" s="20"/>
      <c r="C15" s="39"/>
      <c r="D15" s="32"/>
      <c r="E15" s="31"/>
      <c r="F15" s="37"/>
      <c r="G15" s="27"/>
    </row>
    <row r="16" spans="2:7" ht="28.05" customHeight="1" x14ac:dyDescent="0.45">
      <c r="B16" s="20"/>
      <c r="C16" s="42" t="s">
        <v>7</v>
      </c>
      <c r="D16" s="45">
        <v>270</v>
      </c>
      <c r="E16" s="43" t="str">
        <f>IF(D16="", "*Required","")</f>
        <v/>
      </c>
      <c r="F16" s="44" t="s">
        <v>18</v>
      </c>
      <c r="G16" s="27"/>
    </row>
    <row r="17" spans="2:7" ht="8" customHeight="1" x14ac:dyDescent="0.65">
      <c r="B17" s="20"/>
      <c r="C17" s="46"/>
      <c r="D17" s="45"/>
      <c r="E17" s="47"/>
      <c r="F17" s="44"/>
      <c r="G17" s="27"/>
    </row>
    <row r="18" spans="2:7" ht="28.05" customHeight="1" x14ac:dyDescent="0.45">
      <c r="B18" s="20"/>
      <c r="C18" s="42" t="s">
        <v>8</v>
      </c>
      <c r="D18" s="45">
        <v>415.2</v>
      </c>
      <c r="E18" s="43" t="str">
        <f>IF(D18="", "*Required","")</f>
        <v/>
      </c>
      <c r="F18" s="44" t="s">
        <v>20</v>
      </c>
      <c r="G18" s="27"/>
    </row>
    <row r="19" spans="2:7" ht="8" customHeight="1" x14ac:dyDescent="0.65">
      <c r="B19" s="20"/>
      <c r="C19" s="39"/>
      <c r="D19" s="32"/>
      <c r="E19" s="31"/>
      <c r="F19" s="37"/>
      <c r="G19" s="27"/>
    </row>
    <row r="20" spans="2:7" ht="28.05" customHeight="1" x14ac:dyDescent="0.45">
      <c r="B20" s="20"/>
      <c r="C20" s="42" t="s">
        <v>9</v>
      </c>
      <c r="D20" s="45">
        <v>0.2</v>
      </c>
      <c r="E20" s="43" t="str">
        <f>IF(D20="", "*Required","")</f>
        <v/>
      </c>
      <c r="F20" s="44" t="s">
        <v>19</v>
      </c>
      <c r="G20" s="27"/>
    </row>
    <row r="21" spans="2:7" ht="8" customHeight="1" x14ac:dyDescent="0.65">
      <c r="B21" s="20"/>
      <c r="C21" s="39"/>
      <c r="D21" s="32"/>
      <c r="E21" s="31"/>
      <c r="F21" s="37"/>
      <c r="G21" s="27"/>
    </row>
    <row r="22" spans="2:7" ht="28.05" customHeight="1" x14ac:dyDescent="0.45">
      <c r="B22" s="20"/>
      <c r="C22" s="42" t="s">
        <v>10</v>
      </c>
      <c r="D22" s="45">
        <v>3.11</v>
      </c>
      <c r="E22" s="43" t="str">
        <f>IF(D22="", "*Required","")</f>
        <v/>
      </c>
      <c r="F22" s="44" t="s">
        <v>21</v>
      </c>
      <c r="G22" s="27"/>
    </row>
    <row r="23" spans="2:7" x14ac:dyDescent="0.45">
      <c r="B23" s="20"/>
      <c r="C23"/>
      <c r="D23"/>
      <c r="E23"/>
      <c r="F23"/>
      <c r="G23" s="27"/>
    </row>
    <row r="24" spans="2:7" x14ac:dyDescent="0.45">
      <c r="B24" s="20"/>
      <c r="C24"/>
      <c r="D24"/>
      <c r="E24"/>
      <c r="F24"/>
      <c r="G24" s="27"/>
    </row>
    <row r="25" spans="2:7" x14ac:dyDescent="0.45">
      <c r="B25" s="20"/>
      <c r="C25"/>
      <c r="D25"/>
      <c r="E25"/>
      <c r="F25"/>
      <c r="G25" s="27"/>
    </row>
    <row r="26" spans="2:7" ht="14.35" customHeight="1" x14ac:dyDescent="0.45">
      <c r="B26" s="20"/>
      <c r="C26"/>
      <c r="D26"/>
      <c r="E26"/>
      <c r="F26"/>
      <c r="G26" s="27"/>
    </row>
    <row r="27" spans="2:7" ht="14.35" customHeight="1" x14ac:dyDescent="0.45">
      <c r="B27" s="20"/>
      <c r="C27"/>
      <c r="D27"/>
      <c r="E27"/>
      <c r="F27"/>
      <c r="G27" s="27"/>
    </row>
    <row r="28" spans="2:7" ht="18" x14ac:dyDescent="0.55000000000000004">
      <c r="B28" s="20"/>
      <c r="C28" s="28" t="s">
        <v>4</v>
      </c>
      <c r="D28" s="29">
        <v>0.92474746763832727</v>
      </c>
      <c r="E28"/>
      <c r="F28"/>
      <c r="G28" s="27"/>
    </row>
    <row r="29" spans="2:7" ht="8" customHeight="1" x14ac:dyDescent="0.45">
      <c r="B29" s="20"/>
      <c r="C29" s="25"/>
      <c r="D29"/>
      <c r="E29"/>
      <c r="F29"/>
      <c r="G29" s="27"/>
    </row>
    <row r="30" spans="2:7" ht="22.15" customHeight="1" x14ac:dyDescent="0.45">
      <c r="B30" s="20"/>
      <c r="C30" s="49" t="s">
        <v>25</v>
      </c>
      <c r="D30" s="50" t="s">
        <v>33</v>
      </c>
      <c r="E30"/>
      <c r="F30"/>
      <c r="G30" s="27"/>
    </row>
    <row r="31" spans="2:7" ht="8" customHeight="1" x14ac:dyDescent="0.45">
      <c r="B31" s="20"/>
      <c r="C31" s="49"/>
      <c r="D31" s="50"/>
      <c r="E31"/>
      <c r="F31"/>
      <c r="G31" s="27"/>
    </row>
    <row r="32" spans="2:7" ht="8" customHeight="1" x14ac:dyDescent="0.45">
      <c r="B32" s="20"/>
      <c r="C32"/>
      <c r="D32"/>
      <c r="E32"/>
      <c r="F32"/>
      <c r="G32" s="27"/>
    </row>
    <row r="33" spans="2:7" x14ac:dyDescent="0.45">
      <c r="B33" s="21"/>
      <c r="C33" s="18"/>
      <c r="D33" s="18"/>
      <c r="E33" s="18"/>
      <c r="F33" s="18"/>
      <c r="G33" s="10"/>
    </row>
  </sheetData>
  <mergeCells count="3">
    <mergeCell ref="C3:F4"/>
    <mergeCell ref="C30:C31"/>
    <mergeCell ref="D30:D31"/>
  </mergeCells>
  <conditionalFormatting sqref="D30">
    <cfRule type="cellIs" dxfId="7" priority="1" operator="equal">
      <formula>"NO FISH KILL"</formula>
    </cfRule>
    <cfRule type="cellIs" dxfId="6" priority="2" operator="equal">
      <formula>"FISH KILL"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PredictFishKill_Reduced_3">
                <anchor moveWithCells="1" sizeWithCells="1">
                  <from>
                    <xdr:col>3</xdr:col>
                    <xdr:colOff>9525</xdr:colOff>
                    <xdr:row>23</xdr:row>
                    <xdr:rowOff>71438</xdr:rowOff>
                  </from>
                  <to>
                    <xdr:col>3</xdr:col>
                    <xdr:colOff>1738313</xdr:colOff>
                    <xdr:row>25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49999-4FBF-4552-ADED-36E6BB3F50DA}">
  <sheetPr codeName="Sheet10"/>
  <dimension ref="B2:G33"/>
  <sheetViews>
    <sheetView showGridLines="0" zoomScale="40" zoomScaleNormal="40" workbookViewId="0">
      <selection activeCell="D30" sqref="D30:D31"/>
    </sheetView>
  </sheetViews>
  <sheetFormatPr defaultRowHeight="14.25" x14ac:dyDescent="0.45"/>
  <cols>
    <col min="1" max="1" width="9.06640625" style="11"/>
    <col min="2" max="2" width="1.59765625" style="11" customWidth="1"/>
    <col min="3" max="3" width="40.59765625" style="11" customWidth="1"/>
    <col min="4" max="4" width="24.59765625" style="11" customWidth="1"/>
    <col min="5" max="5" width="10.73046875" style="11" customWidth="1"/>
    <col min="6" max="6" width="24.59765625" style="11" customWidth="1"/>
    <col min="7" max="7" width="1.59765625" style="11" customWidth="1"/>
    <col min="8" max="16384" width="9.06640625" style="11"/>
  </cols>
  <sheetData>
    <row r="2" spans="2:7" ht="8" customHeight="1" x14ac:dyDescent="0.45">
      <c r="B2" s="19"/>
      <c r="C2" s="17"/>
      <c r="D2" s="17"/>
      <c r="E2" s="17"/>
      <c r="F2" s="17"/>
      <c r="G2" s="26"/>
    </row>
    <row r="3" spans="2:7" ht="14.25" customHeight="1" x14ac:dyDescent="0.45">
      <c r="B3" s="20"/>
      <c r="C3" s="48" t="s">
        <v>22</v>
      </c>
      <c r="D3" s="48"/>
      <c r="E3" s="48"/>
      <c r="F3" s="48"/>
      <c r="G3" s="27"/>
    </row>
    <row r="4" spans="2:7" ht="27.4" customHeight="1" x14ac:dyDescent="0.45">
      <c r="B4" s="20"/>
      <c r="C4" s="48"/>
      <c r="D4" s="48"/>
      <c r="E4" s="48"/>
      <c r="F4" s="48"/>
      <c r="G4" s="27"/>
    </row>
    <row r="5" spans="2:7" x14ac:dyDescent="0.45">
      <c r="B5" s="20"/>
      <c r="C5"/>
      <c r="D5"/>
      <c r="E5"/>
      <c r="F5"/>
      <c r="G5" s="27"/>
    </row>
    <row r="6" spans="2:7" ht="22.05" customHeight="1" x14ac:dyDescent="0.75">
      <c r="B6" s="20"/>
      <c r="C6" s="24"/>
      <c r="D6" s="32" t="s">
        <v>16</v>
      </c>
      <c r="E6" s="33"/>
      <c r="F6" s="37" t="s">
        <v>15</v>
      </c>
      <c r="G6" s="27"/>
    </row>
    <row r="7" spans="2:7" ht="8" customHeight="1" x14ac:dyDescent="0.75">
      <c r="B7" s="20"/>
      <c r="C7" s="24"/>
      <c r="D7" s="34"/>
      <c r="E7" s="33"/>
      <c r="F7" s="35"/>
      <c r="G7" s="27"/>
    </row>
    <row r="8" spans="2:7" ht="28.05" customHeight="1" x14ac:dyDescent="0.45">
      <c r="B8" s="20"/>
      <c r="C8" s="38" t="s">
        <v>2</v>
      </c>
      <c r="D8" s="36">
        <v>7.43</v>
      </c>
      <c r="E8" s="30" t="str">
        <f>IF(D8="", "*Required","")</f>
        <v/>
      </c>
      <c r="F8" s="37"/>
      <c r="G8" s="27"/>
    </row>
    <row r="9" spans="2:7" ht="8" customHeight="1" x14ac:dyDescent="0.65">
      <c r="B9" s="20"/>
      <c r="C9" s="39"/>
      <c r="D9" s="32"/>
      <c r="E9" s="31"/>
      <c r="F9" s="37"/>
      <c r="G9" s="27"/>
    </row>
    <row r="10" spans="2:7" ht="28.05" customHeight="1" x14ac:dyDescent="0.45">
      <c r="B10" s="20"/>
      <c r="C10" s="38" t="s">
        <v>1</v>
      </c>
      <c r="D10" s="36">
        <v>0.18</v>
      </c>
      <c r="E10" s="30" t="str">
        <f>IF(D10="", "*Required","")</f>
        <v/>
      </c>
      <c r="F10" s="37" t="s">
        <v>18</v>
      </c>
      <c r="G10" s="27"/>
    </row>
    <row r="11" spans="2:7" ht="8" customHeight="1" x14ac:dyDescent="0.65">
      <c r="B11" s="20"/>
      <c r="C11" s="39"/>
      <c r="D11" s="32"/>
      <c r="E11" s="31"/>
      <c r="F11" s="37"/>
      <c r="G11" s="27"/>
    </row>
    <row r="12" spans="2:7" ht="28.05" customHeight="1" x14ac:dyDescent="0.45">
      <c r="B12" s="20"/>
      <c r="C12" s="42" t="s">
        <v>3</v>
      </c>
      <c r="D12" s="45">
        <v>0.1</v>
      </c>
      <c r="E12" s="43" t="str">
        <f>IF(D12="", "*Required","")</f>
        <v/>
      </c>
      <c r="F12" s="44" t="s">
        <v>18</v>
      </c>
      <c r="G12" s="27"/>
    </row>
    <row r="13" spans="2:7" ht="8" customHeight="1" x14ac:dyDescent="0.65">
      <c r="B13" s="20"/>
      <c r="C13" s="39"/>
      <c r="D13" s="32"/>
      <c r="E13" s="31"/>
      <c r="F13" s="37"/>
      <c r="G13" s="27"/>
    </row>
    <row r="14" spans="2:7" ht="28.05" customHeight="1" x14ac:dyDescent="0.45">
      <c r="B14" s="20"/>
      <c r="C14" s="42" t="s">
        <v>6</v>
      </c>
      <c r="D14" s="45">
        <v>25.1</v>
      </c>
      <c r="E14" s="43" t="str">
        <f>IF(D14="", "*Required","")</f>
        <v/>
      </c>
      <c r="F14" s="44" t="s">
        <v>17</v>
      </c>
      <c r="G14" s="27"/>
    </row>
    <row r="15" spans="2:7" ht="8" customHeight="1" x14ac:dyDescent="0.65">
      <c r="B15" s="20"/>
      <c r="C15" s="39"/>
      <c r="D15" s="32"/>
      <c r="E15" s="31"/>
      <c r="F15" s="37"/>
      <c r="G15" s="27"/>
    </row>
    <row r="16" spans="2:7" ht="28.05" customHeight="1" x14ac:dyDescent="0.45">
      <c r="B16" s="20"/>
      <c r="C16" s="42" t="s">
        <v>7</v>
      </c>
      <c r="D16" s="45">
        <v>270</v>
      </c>
      <c r="E16" s="43" t="str">
        <f>IF(D16="", "*Required","")</f>
        <v/>
      </c>
      <c r="F16" s="44" t="s">
        <v>18</v>
      </c>
      <c r="G16" s="27"/>
    </row>
    <row r="17" spans="2:7" ht="8" customHeight="1" x14ac:dyDescent="0.65">
      <c r="B17" s="20"/>
      <c r="C17" s="46"/>
      <c r="D17" s="45"/>
      <c r="E17" s="47"/>
      <c r="F17" s="44"/>
      <c r="G17" s="27"/>
    </row>
    <row r="18" spans="2:7" ht="28.05" customHeight="1" x14ac:dyDescent="0.45">
      <c r="B18" s="20"/>
      <c r="C18" s="42" t="s">
        <v>8</v>
      </c>
      <c r="D18" s="45">
        <v>415.2</v>
      </c>
      <c r="E18" s="43" t="str">
        <f>IF(D18="", "*Required","")</f>
        <v/>
      </c>
      <c r="F18" s="44" t="s">
        <v>20</v>
      </c>
      <c r="G18" s="27"/>
    </row>
    <row r="19" spans="2:7" ht="8" customHeight="1" x14ac:dyDescent="0.65">
      <c r="B19" s="20"/>
      <c r="C19" s="39"/>
      <c r="D19" s="32"/>
      <c r="E19" s="31"/>
      <c r="F19" s="37"/>
      <c r="G19" s="27"/>
    </row>
    <row r="20" spans="2:7" ht="28.05" customHeight="1" x14ac:dyDescent="0.45">
      <c r="B20" s="20"/>
      <c r="C20" s="42" t="s">
        <v>9</v>
      </c>
      <c r="D20" s="45">
        <v>0.2</v>
      </c>
      <c r="E20" s="43" t="str">
        <f>IF(D20="", "*Required","")</f>
        <v/>
      </c>
      <c r="F20" s="44" t="s">
        <v>19</v>
      </c>
      <c r="G20" s="27"/>
    </row>
    <row r="21" spans="2:7" ht="8" customHeight="1" x14ac:dyDescent="0.65">
      <c r="B21" s="20"/>
      <c r="C21" s="39"/>
      <c r="D21" s="32"/>
      <c r="E21" s="31"/>
      <c r="F21" s="37"/>
      <c r="G21" s="27"/>
    </row>
    <row r="22" spans="2:7" ht="28.05" customHeight="1" x14ac:dyDescent="0.45">
      <c r="B22" s="20"/>
      <c r="C22" s="42" t="s">
        <v>10</v>
      </c>
      <c r="D22" s="45">
        <v>3.11</v>
      </c>
      <c r="E22" s="43" t="str">
        <f>IF(D22="", "*Required","")</f>
        <v/>
      </c>
      <c r="F22" s="44" t="s">
        <v>21</v>
      </c>
      <c r="G22" s="27"/>
    </row>
    <row r="23" spans="2:7" x14ac:dyDescent="0.45">
      <c r="B23" s="20"/>
      <c r="C23"/>
      <c r="D23"/>
      <c r="E23"/>
      <c r="F23"/>
      <c r="G23" s="27"/>
    </row>
    <row r="24" spans="2:7" x14ac:dyDescent="0.45">
      <c r="B24" s="20"/>
      <c r="C24"/>
      <c r="D24"/>
      <c r="E24"/>
      <c r="F24"/>
      <c r="G24" s="27"/>
    </row>
    <row r="25" spans="2:7" x14ac:dyDescent="0.45">
      <c r="B25" s="20"/>
      <c r="C25"/>
      <c r="D25"/>
      <c r="E25"/>
      <c r="F25"/>
      <c r="G25" s="27"/>
    </row>
    <row r="26" spans="2:7" ht="14.35" customHeight="1" x14ac:dyDescent="0.45">
      <c r="B26" s="20"/>
      <c r="C26"/>
      <c r="D26"/>
      <c r="E26"/>
      <c r="F26"/>
      <c r="G26" s="27"/>
    </row>
    <row r="27" spans="2:7" ht="14.35" customHeight="1" x14ac:dyDescent="0.45">
      <c r="B27" s="20"/>
      <c r="C27"/>
      <c r="D27"/>
      <c r="E27"/>
      <c r="F27"/>
      <c r="G27" s="27"/>
    </row>
    <row r="28" spans="2:7" ht="18" x14ac:dyDescent="0.55000000000000004">
      <c r="B28" s="20"/>
      <c r="C28" s="28" t="s">
        <v>4</v>
      </c>
      <c r="D28" s="29">
        <v>0.75707349391580325</v>
      </c>
      <c r="E28"/>
      <c r="F28"/>
      <c r="G28" s="27"/>
    </row>
    <row r="29" spans="2:7" ht="8" customHeight="1" x14ac:dyDescent="0.45">
      <c r="B29" s="20"/>
      <c r="C29" s="25"/>
      <c r="D29"/>
      <c r="E29"/>
      <c r="F29"/>
      <c r="G29" s="27"/>
    </row>
    <row r="30" spans="2:7" ht="22.15" customHeight="1" x14ac:dyDescent="0.45">
      <c r="B30" s="20"/>
      <c r="C30" s="49" t="s">
        <v>25</v>
      </c>
      <c r="D30" s="50" t="s">
        <v>33</v>
      </c>
      <c r="E30"/>
      <c r="F30"/>
      <c r="G30" s="27"/>
    </row>
    <row r="31" spans="2:7" ht="8" customHeight="1" x14ac:dyDescent="0.45">
      <c r="B31" s="20"/>
      <c r="C31" s="49"/>
      <c r="D31" s="50"/>
      <c r="E31"/>
      <c r="F31"/>
      <c r="G31" s="27"/>
    </row>
    <row r="32" spans="2:7" ht="8" customHeight="1" x14ac:dyDescent="0.45">
      <c r="B32" s="20"/>
      <c r="C32"/>
      <c r="D32"/>
      <c r="E32"/>
      <c r="F32"/>
      <c r="G32" s="27"/>
    </row>
    <row r="33" spans="2:7" x14ac:dyDescent="0.45">
      <c r="B33" s="21"/>
      <c r="C33" s="18"/>
      <c r="D33" s="18"/>
      <c r="E33" s="18"/>
      <c r="F33" s="18"/>
      <c r="G33" s="10"/>
    </row>
  </sheetData>
  <mergeCells count="3">
    <mergeCell ref="C3:F4"/>
    <mergeCell ref="C30:C31"/>
    <mergeCell ref="D30:D31"/>
  </mergeCells>
  <conditionalFormatting sqref="D30">
    <cfRule type="cellIs" dxfId="3" priority="1" operator="equal">
      <formula>"NO FISH KILL"</formula>
    </cfRule>
    <cfRule type="cellIs" dxfId="2" priority="2" operator="equal">
      <formula>"FISH KILL"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PredictFishKill_Reduced_2">
                <anchor moveWithCells="1" sizeWithCells="1">
                  <from>
                    <xdr:col>3</xdr:col>
                    <xdr:colOff>9525</xdr:colOff>
                    <xdr:row>23</xdr:row>
                    <xdr:rowOff>71438</xdr:rowOff>
                  </from>
                  <to>
                    <xdr:col>3</xdr:col>
                    <xdr:colOff>1738313</xdr:colOff>
                    <xdr:row>25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F7575-6999-49D2-BD0D-AF3B576816EC}">
  <sheetPr codeName="Sheet2"/>
  <dimension ref="B3:H107"/>
  <sheetViews>
    <sheetView topLeftCell="A47" zoomScale="48" workbookViewId="0">
      <selection activeCell="F54" activeCellId="1" sqref="H77 F54"/>
    </sheetView>
  </sheetViews>
  <sheetFormatPr defaultRowHeight="14.25" x14ac:dyDescent="0.45"/>
  <cols>
    <col min="2" max="2" width="24.59765625" customWidth="1"/>
    <col min="3" max="3" width="28.59765625" customWidth="1"/>
    <col min="4" max="6" width="21.59765625" customWidth="1"/>
    <col min="8" max="8" width="17.33203125" customWidth="1"/>
  </cols>
  <sheetData>
    <row r="3" spans="2:8" x14ac:dyDescent="0.45">
      <c r="D3" s="40"/>
    </row>
    <row r="4" spans="2:8" x14ac:dyDescent="0.45">
      <c r="B4" s="41" t="s">
        <v>26</v>
      </c>
    </row>
    <row r="6" spans="2:8" x14ac:dyDescent="0.45">
      <c r="B6" s="3" t="s">
        <v>11</v>
      </c>
      <c r="C6" s="1" t="s">
        <v>0</v>
      </c>
      <c r="D6" s="3" t="s">
        <v>12</v>
      </c>
      <c r="E6" s="3" t="s">
        <v>13</v>
      </c>
      <c r="F6" s="3" t="s">
        <v>14</v>
      </c>
      <c r="H6" s="3" t="s">
        <v>23</v>
      </c>
    </row>
    <row r="7" spans="2:8" x14ac:dyDescent="0.45">
      <c r="B7" s="2">
        <v>-4.0004564191363201</v>
      </c>
      <c r="C7" s="6" t="s">
        <v>2</v>
      </c>
      <c r="D7" s="13">
        <v>7.3925220458553804</v>
      </c>
      <c r="E7" s="14">
        <v>0.543428747220707</v>
      </c>
      <c r="F7" s="2">
        <f>('8 Variables'!D8-Model!D7)/Model!E7</f>
        <v>-0.832716429099018</v>
      </c>
      <c r="H7" s="7">
        <f>B7*F7</f>
        <v>3.3312457841094409</v>
      </c>
    </row>
    <row r="8" spans="2:8" x14ac:dyDescent="0.45">
      <c r="B8" s="2">
        <v>-2.0495683308951498</v>
      </c>
      <c r="C8" s="4" t="s">
        <v>1</v>
      </c>
      <c r="D8" s="40">
        <v>2.8643209876543199</v>
      </c>
      <c r="E8" s="2">
        <v>3.74850397285811</v>
      </c>
      <c r="F8" s="2">
        <f>('8 Variables'!D10-Model!D8)/Model!E8</f>
        <v>-0.73744646068671937</v>
      </c>
      <c r="H8" s="8">
        <f>B8*F8</f>
        <v>1.5114469115542151</v>
      </c>
    </row>
    <row r="9" spans="2:8" x14ac:dyDescent="0.45">
      <c r="B9" s="2">
        <v>-1.17665931173216</v>
      </c>
      <c r="C9" s="4" t="s">
        <v>3</v>
      </c>
      <c r="D9" s="15">
        <v>0.456772486772487</v>
      </c>
      <c r="E9" s="2">
        <v>0.91623105922112802</v>
      </c>
      <c r="F9" s="2">
        <f>('8 Variables'!D12-Model!D9)/Model!E9</f>
        <v>-0.38939139115822269</v>
      </c>
      <c r="H9" s="8">
        <f t="shared" ref="H9:H14" si="0">B9*F9</f>
        <v>0.45818100631466258</v>
      </c>
    </row>
    <row r="10" spans="2:8" x14ac:dyDescent="0.45">
      <c r="B10" s="2">
        <v>-0.75758949762570504</v>
      </c>
      <c r="C10" s="4" t="s">
        <v>6</v>
      </c>
      <c r="D10" s="15">
        <v>26.5241622574956</v>
      </c>
      <c r="E10" s="2">
        <v>0.72198894532019597</v>
      </c>
      <c r="F10" s="2">
        <f>('8 Variables'!D14-Model!D10)/Model!E10</f>
        <v>-1.9725541045008592</v>
      </c>
      <c r="H10" s="8">
        <f t="shared" si="0"/>
        <v>1.4943862730683284</v>
      </c>
    </row>
    <row r="11" spans="2:8" x14ac:dyDescent="0.45">
      <c r="B11" s="2">
        <v>0.70817904853954095</v>
      </c>
      <c r="C11" s="4" t="s">
        <v>7</v>
      </c>
      <c r="D11" s="15">
        <v>225.20634920634899</v>
      </c>
      <c r="E11" s="2">
        <v>5.6326174591095004</v>
      </c>
      <c r="F11" s="2">
        <f>('8 Variables'!D16-Model!D11)/Model!E11</f>
        <v>7.9525462396185436</v>
      </c>
      <c r="H11" s="8">
        <f t="shared" si="0"/>
        <v>5.6318266294397645</v>
      </c>
    </row>
    <row r="12" spans="2:8" x14ac:dyDescent="0.45">
      <c r="B12" s="2">
        <v>0.58879017513697696</v>
      </c>
      <c r="C12" s="4" t="s">
        <v>8</v>
      </c>
      <c r="D12" s="15">
        <v>356.428395061728</v>
      </c>
      <c r="E12" s="2">
        <v>4.91769164089889</v>
      </c>
      <c r="F12" s="2">
        <f>('8 Variables'!D18-Model!D12)/Model!E12</f>
        <v>11.951055338542803</v>
      </c>
      <c r="H12" s="8">
        <f t="shared" si="0"/>
        <v>7.0366639658523207</v>
      </c>
    </row>
    <row r="13" spans="2:8" x14ac:dyDescent="0.45">
      <c r="B13" s="2">
        <v>0.46492453957879498</v>
      </c>
      <c r="C13" s="4" t="s">
        <v>9</v>
      </c>
      <c r="D13" s="15">
        <v>0.162716049382716</v>
      </c>
      <c r="E13" s="2">
        <v>5.8820391355909199E-3</v>
      </c>
      <c r="F13" s="2">
        <f>('8 Variables'!D20-Model!D13)/Model!E13</f>
        <v>6.3386097504328154</v>
      </c>
      <c r="H13" s="8">
        <f t="shared" si="0"/>
        <v>2.9469752197896373</v>
      </c>
    </row>
    <row r="14" spans="2:8" x14ac:dyDescent="0.45">
      <c r="B14" s="12">
        <v>6.6788101784489795E-2</v>
      </c>
      <c r="C14" s="5" t="s">
        <v>10</v>
      </c>
      <c r="D14" s="16">
        <v>3.4667548500881802</v>
      </c>
      <c r="E14" s="12">
        <v>15.5210512806074</v>
      </c>
      <c r="F14" s="12">
        <f>('8 Variables'!D22-Model!D14)/Model!E14</f>
        <v>-2.2985224624180164E-2</v>
      </c>
      <c r="H14" s="9">
        <f t="shared" si="0"/>
        <v>-1.5351395217391059E-3</v>
      </c>
    </row>
    <row r="16" spans="2:8" x14ac:dyDescent="0.45">
      <c r="G16" s="23" t="s">
        <v>5</v>
      </c>
      <c r="H16" s="22">
        <v>-0.924768064960937</v>
      </c>
    </row>
    <row r="17" spans="2:8" x14ac:dyDescent="0.45">
      <c r="G17" s="23" t="s">
        <v>24</v>
      </c>
      <c r="H17" s="22">
        <f>H16+SUM(H7:H14)</f>
        <v>21.484422585645692</v>
      </c>
    </row>
    <row r="19" spans="2:8" x14ac:dyDescent="0.45">
      <c r="B19" s="41" t="s">
        <v>27</v>
      </c>
    </row>
    <row r="21" spans="2:8" x14ac:dyDescent="0.45">
      <c r="B21" s="3" t="s">
        <v>11</v>
      </c>
      <c r="C21" s="1" t="s">
        <v>0</v>
      </c>
      <c r="D21" s="3" t="s">
        <v>12</v>
      </c>
      <c r="E21" s="3" t="s">
        <v>13</v>
      </c>
      <c r="F21" s="3" t="s">
        <v>14</v>
      </c>
      <c r="H21" s="3" t="s">
        <v>23</v>
      </c>
    </row>
    <row r="22" spans="2:8" x14ac:dyDescent="0.45">
      <c r="B22" s="2">
        <v>-4.0023398435058901</v>
      </c>
      <c r="C22" s="6" t="s">
        <v>2</v>
      </c>
      <c r="D22" s="13">
        <v>7.3925220458553804</v>
      </c>
      <c r="E22" s="14">
        <v>0.543428747220707</v>
      </c>
      <c r="F22" s="2">
        <f>('7 Variables'!D8-Model!D22)/Model!E22</f>
        <v>-0.832716429099018</v>
      </c>
      <c r="H22" s="7">
        <f>B22*F22</f>
        <v>3.3328141425249473</v>
      </c>
    </row>
    <row r="23" spans="2:8" x14ac:dyDescent="0.45">
      <c r="B23" s="2">
        <v>-2.0436055746642401</v>
      </c>
      <c r="C23" s="4" t="s">
        <v>1</v>
      </c>
      <c r="D23" s="40">
        <v>2.8643209876543199</v>
      </c>
      <c r="E23" s="2">
        <v>3.74850397285811</v>
      </c>
      <c r="F23" s="2">
        <f>('7 Variables'!D10-Model!D23)/Model!E23</f>
        <v>-0.70009822762795748</v>
      </c>
      <c r="H23" s="8">
        <f>B23*F23</f>
        <v>1.4307246407930481</v>
      </c>
    </row>
    <row r="24" spans="2:8" x14ac:dyDescent="0.45">
      <c r="B24" s="2">
        <v>-1.1746370672431401</v>
      </c>
      <c r="C24" s="4" t="s">
        <v>3</v>
      </c>
      <c r="D24" s="15">
        <v>0.456772486772487</v>
      </c>
      <c r="E24" s="2">
        <v>0.91623105922112802</v>
      </c>
      <c r="F24" s="2">
        <f>('7 Variables'!D12-Model!D24)/Model!E24</f>
        <v>-0.36756283623344027</v>
      </c>
      <c r="H24" s="8">
        <f t="shared" ref="H24:H28" si="1">B24*F24</f>
        <v>0.43175293198081888</v>
      </c>
    </row>
    <row r="25" spans="2:8" x14ac:dyDescent="0.45">
      <c r="B25" s="2">
        <v>-0.75708692825818302</v>
      </c>
      <c r="C25" s="4" t="s">
        <v>6</v>
      </c>
      <c r="D25" s="15">
        <v>26.5241622574956</v>
      </c>
      <c r="E25" s="2">
        <v>0.72198894532019597</v>
      </c>
      <c r="F25" s="2">
        <f>('7 Variables'!D14-Model!D25)/Model!E25</f>
        <v>-1.9725541045008592</v>
      </c>
      <c r="H25" s="8">
        <f t="shared" si="1"/>
        <v>1.4933949277996266</v>
      </c>
    </row>
    <row r="26" spans="2:8" x14ac:dyDescent="0.45">
      <c r="B26" s="2">
        <v>0.70981621378668902</v>
      </c>
      <c r="C26" s="4" t="s">
        <v>7</v>
      </c>
      <c r="D26" s="15">
        <v>225.20634920634899</v>
      </c>
      <c r="E26" s="2">
        <v>5.6326174591095004</v>
      </c>
      <c r="F26" s="2">
        <f>('7 Variables'!D16-Model!D26)/Model!E26</f>
        <v>7.9525462396185436</v>
      </c>
      <c r="H26" s="8">
        <f t="shared" si="1"/>
        <v>5.6448462617696062</v>
      </c>
    </row>
    <row r="27" spans="2:8" x14ac:dyDescent="0.45">
      <c r="B27" s="2">
        <v>0.58850001117470596</v>
      </c>
      <c r="C27" s="4" t="s">
        <v>8</v>
      </c>
      <c r="D27" s="15">
        <v>356.428395061728</v>
      </c>
      <c r="E27" s="2">
        <v>4.91769164089889</v>
      </c>
      <c r="F27" s="2">
        <f>('7 Variables'!D18-Model!D27)/Model!E27</f>
        <v>12.012059570183721</v>
      </c>
      <c r="H27" s="8">
        <f t="shared" si="1"/>
        <v>7.0690971912843539</v>
      </c>
    </row>
    <row r="28" spans="2:8" x14ac:dyDescent="0.45">
      <c r="B28" s="2">
        <v>0.466191573657525</v>
      </c>
      <c r="C28" s="4" t="s">
        <v>9</v>
      </c>
      <c r="D28" s="15">
        <v>0.162716049382716</v>
      </c>
      <c r="E28" s="2">
        <v>5.8820391355909199E-3</v>
      </c>
      <c r="F28" s="2">
        <f>('7 Variables'!D20-Model!D28)/Model!E28</f>
        <v>6.3386097504328154</v>
      </c>
      <c r="H28" s="8">
        <f t="shared" si="1"/>
        <v>2.9550064543552059</v>
      </c>
    </row>
    <row r="29" spans="2:8" x14ac:dyDescent="0.45">
      <c r="B29" s="12"/>
      <c r="C29" s="5"/>
      <c r="D29" s="16"/>
      <c r="E29" s="12"/>
      <c r="F29" s="12"/>
      <c r="H29" s="9"/>
    </row>
    <row r="31" spans="2:8" x14ac:dyDescent="0.45">
      <c r="G31" s="23" t="s">
        <v>5</v>
      </c>
      <c r="H31" s="22">
        <v>-0.92976826321913597</v>
      </c>
    </row>
    <row r="32" spans="2:8" x14ac:dyDescent="0.45">
      <c r="G32" s="23" t="s">
        <v>24</v>
      </c>
      <c r="H32" s="22">
        <f>H31+SUM(H22:H29)</f>
        <v>21.427868287288472</v>
      </c>
    </row>
    <row r="34" spans="2:8" x14ac:dyDescent="0.45">
      <c r="B34" s="41" t="s">
        <v>28</v>
      </c>
    </row>
    <row r="36" spans="2:8" x14ac:dyDescent="0.45">
      <c r="B36" s="3" t="s">
        <v>11</v>
      </c>
      <c r="C36" s="1" t="s">
        <v>0</v>
      </c>
      <c r="D36" s="3" t="s">
        <v>12</v>
      </c>
      <c r="E36" s="3" t="s">
        <v>13</v>
      </c>
      <c r="F36" s="3" t="s">
        <v>14</v>
      </c>
      <c r="H36" s="3" t="s">
        <v>23</v>
      </c>
    </row>
    <row r="37" spans="2:8" x14ac:dyDescent="0.45">
      <c r="B37" s="2">
        <v>-3.93816988344392</v>
      </c>
      <c r="C37" s="6" t="s">
        <v>2</v>
      </c>
      <c r="D37" s="13">
        <v>7.3925220458553804</v>
      </c>
      <c r="E37" s="14">
        <v>0.543428747220707</v>
      </c>
      <c r="F37" s="2">
        <f>('6 Variables'!D8-Model!D37)/Model!E37</f>
        <v>-0.832716429099018</v>
      </c>
      <c r="H37" s="7">
        <f>B37*F37</f>
        <v>3.2793787625267172</v>
      </c>
    </row>
    <row r="38" spans="2:8" x14ac:dyDescent="0.45">
      <c r="B38" s="2">
        <v>-2.1143674252406899</v>
      </c>
      <c r="C38" s="4" t="s">
        <v>1</v>
      </c>
      <c r="D38" s="40">
        <v>2.8643209876543199</v>
      </c>
      <c r="E38" s="2">
        <v>3.74850397285811</v>
      </c>
      <c r="F38" s="2">
        <f>('6 Variables'!D10-Model!D38)/Model!E38</f>
        <v>-0.72944326788841329</v>
      </c>
      <c r="H38" s="8">
        <f>B38*F38</f>
        <v>1.5423110841843792</v>
      </c>
    </row>
    <row r="39" spans="2:8" x14ac:dyDescent="0.45">
      <c r="B39" s="2">
        <v>-1.08983862768979</v>
      </c>
      <c r="C39" s="4" t="s">
        <v>3</v>
      </c>
      <c r="D39" s="15">
        <v>0.456772486772487</v>
      </c>
      <c r="E39" s="2">
        <v>0.91623105922112802</v>
      </c>
      <c r="F39" s="2">
        <f>('6 Variables'!D12-Model!D39)/Model!E39</f>
        <v>-0.36756283623344027</v>
      </c>
      <c r="H39" s="8">
        <f t="shared" ref="H39:H42" si="2">B39*F39</f>
        <v>0.40058417703041954</v>
      </c>
    </row>
    <row r="40" spans="2:8" x14ac:dyDescent="0.45">
      <c r="B40" s="2">
        <v>-0.85049371600458201</v>
      </c>
      <c r="C40" s="4" t="s">
        <v>6</v>
      </c>
      <c r="D40" s="15">
        <v>26.5241622574956</v>
      </c>
      <c r="E40" s="2">
        <v>0.72198894532019597</v>
      </c>
      <c r="F40" s="2">
        <f>('6 Variables'!D14-Model!D40)/Model!E40</f>
        <v>-1.9725541045008592</v>
      </c>
      <c r="H40" s="8">
        <f t="shared" si="2"/>
        <v>1.6776448703570264</v>
      </c>
    </row>
    <row r="41" spans="2:8" x14ac:dyDescent="0.45">
      <c r="B41" s="2">
        <v>0.86643030226415196</v>
      </c>
      <c r="C41" s="4" t="s">
        <v>7</v>
      </c>
      <c r="D41" s="15">
        <v>225.20634920634899</v>
      </c>
      <c r="E41" s="2">
        <v>5.6326174591095004</v>
      </c>
      <c r="F41" s="2">
        <f>('6 Variables'!D16-Model!D41)/Model!E41</f>
        <v>7.9525462396185436</v>
      </c>
      <c r="H41" s="8">
        <f t="shared" si="2"/>
        <v>6.8903270421623395</v>
      </c>
    </row>
    <row r="42" spans="2:8" x14ac:dyDescent="0.45">
      <c r="B42" s="2">
        <v>0.80522439629910703</v>
      </c>
      <c r="C42" s="4" t="s">
        <v>8</v>
      </c>
      <c r="D42" s="15">
        <v>356.428395061728</v>
      </c>
      <c r="E42" s="2">
        <v>4.91769164089889</v>
      </c>
      <c r="F42" s="2">
        <f>('6 Variables'!D18-Model!D42)/Model!E42</f>
        <v>12.113733289585252</v>
      </c>
      <c r="H42" s="8">
        <f t="shared" si="2"/>
        <v>9.7542735750346807</v>
      </c>
    </row>
    <row r="43" spans="2:8" x14ac:dyDescent="0.45">
      <c r="B43" s="2"/>
      <c r="C43" s="4"/>
      <c r="D43" s="15"/>
      <c r="E43" s="2"/>
      <c r="F43" s="2"/>
      <c r="H43" s="8"/>
    </row>
    <row r="44" spans="2:8" x14ac:dyDescent="0.45">
      <c r="B44" s="12"/>
      <c r="C44" s="5"/>
      <c r="D44" s="16"/>
      <c r="E44" s="12"/>
      <c r="F44" s="12"/>
      <c r="H44" s="9"/>
    </row>
    <row r="46" spans="2:8" x14ac:dyDescent="0.45">
      <c r="G46" s="23" t="s">
        <v>5</v>
      </c>
      <c r="H46" s="22">
        <v>-1.0313139439401799</v>
      </c>
    </row>
    <row r="47" spans="2:8" x14ac:dyDescent="0.45">
      <c r="G47" s="23" t="s">
        <v>24</v>
      </c>
      <c r="H47" s="22">
        <f>H46+SUM(H37:H44)</f>
        <v>22.513205567355381</v>
      </c>
    </row>
    <row r="49" spans="2:8" x14ac:dyDescent="0.45">
      <c r="B49" s="41" t="s">
        <v>29</v>
      </c>
    </row>
    <row r="51" spans="2:8" x14ac:dyDescent="0.45">
      <c r="B51" s="3" t="s">
        <v>11</v>
      </c>
      <c r="C51" s="1" t="s">
        <v>0</v>
      </c>
      <c r="D51" s="3" t="s">
        <v>12</v>
      </c>
      <c r="E51" s="3" t="s">
        <v>13</v>
      </c>
      <c r="F51" s="3" t="s">
        <v>14</v>
      </c>
      <c r="H51" s="3" t="s">
        <v>23</v>
      </c>
    </row>
    <row r="52" spans="2:8" x14ac:dyDescent="0.45">
      <c r="B52" s="2">
        <v>-3.8820091422925098</v>
      </c>
      <c r="C52" s="6" t="s">
        <v>2</v>
      </c>
      <c r="D52" s="13">
        <v>7.3925220458553804</v>
      </c>
      <c r="E52" s="14">
        <v>0.543428747220707</v>
      </c>
      <c r="F52" s="2">
        <f>('5 Variables'!D8-Model!D52)/Model!E52</f>
        <v>-0.92472481153318065</v>
      </c>
      <c r="H52" s="7">
        <f>B52*F52</f>
        <v>3.5897901724765253</v>
      </c>
    </row>
    <row r="53" spans="2:8" x14ac:dyDescent="0.45">
      <c r="B53" s="2">
        <v>-2.18534217997566</v>
      </c>
      <c r="C53" s="4" t="s">
        <v>1</v>
      </c>
      <c r="D53" s="40">
        <v>2.8643209876543199</v>
      </c>
      <c r="E53" s="2">
        <v>3.74850397285811</v>
      </c>
      <c r="F53" s="2">
        <f>('5 Variables'!D10-Model!D53)/Model!E53</f>
        <v>-0.74011419161948822</v>
      </c>
      <c r="H53" s="8">
        <f>B53*F53</f>
        <v>1.6174027609446557</v>
      </c>
    </row>
    <row r="54" spans="2:8" x14ac:dyDescent="0.45">
      <c r="B54" s="2">
        <v>-1.00950003611553</v>
      </c>
      <c r="C54" s="4" t="s">
        <v>3</v>
      </c>
      <c r="D54" s="15">
        <v>0.456772486772487</v>
      </c>
      <c r="E54" s="2">
        <v>0.91623105922112802</v>
      </c>
      <c r="F54" s="2">
        <f>('5 Variables'!D12-Model!D54)/Model!E54</f>
        <v>-0.38939139115822269</v>
      </c>
      <c r="H54" s="8">
        <f t="shared" ref="H54:H56" si="3">B54*F54</f>
        <v>0.39309062343730228</v>
      </c>
    </row>
    <row r="55" spans="2:8" x14ac:dyDescent="0.45">
      <c r="B55" s="2">
        <v>-0.99955405110581796</v>
      </c>
      <c r="C55" s="4" t="s">
        <v>6</v>
      </c>
      <c r="D55" s="15">
        <v>26.5241622574956</v>
      </c>
      <c r="E55" s="2">
        <v>0.72198894532019597</v>
      </c>
      <c r="F55" s="2">
        <f>('5 Variables'!D14-Model!D55)/Model!E55</f>
        <v>-1.9725541045008592</v>
      </c>
      <c r="H55" s="8">
        <f t="shared" si="3"/>
        <v>1.9716744461792428</v>
      </c>
    </row>
    <row r="56" spans="2:8" x14ac:dyDescent="0.45">
      <c r="B56" s="2">
        <v>1.3806736223457301</v>
      </c>
      <c r="C56" s="4" t="s">
        <v>7</v>
      </c>
      <c r="D56" s="15">
        <v>225.20634920634899</v>
      </c>
      <c r="E56" s="2">
        <v>5.6326174591095004</v>
      </c>
      <c r="F56" s="2">
        <f>('5 Variables'!D16-Model!D56)/Model!E56</f>
        <v>7.9525462396185436</v>
      </c>
      <c r="H56" s="8">
        <f t="shared" si="3"/>
        <v>10.979870823526049</v>
      </c>
    </row>
    <row r="57" spans="2:8" x14ac:dyDescent="0.45">
      <c r="B57" s="2"/>
      <c r="C57" s="4"/>
      <c r="D57" s="15"/>
      <c r="E57" s="2"/>
      <c r="F57" s="2"/>
      <c r="H57" s="8"/>
    </row>
    <row r="58" spans="2:8" x14ac:dyDescent="0.45">
      <c r="B58" s="2"/>
      <c r="C58" s="4"/>
      <c r="D58" s="15"/>
      <c r="E58" s="2"/>
      <c r="F58" s="2"/>
      <c r="H58" s="8"/>
    </row>
    <row r="59" spans="2:8" x14ac:dyDescent="0.45">
      <c r="B59" s="12"/>
      <c r="C59" s="5"/>
      <c r="D59" s="16"/>
      <c r="E59" s="12"/>
      <c r="F59" s="12"/>
      <c r="H59" s="9"/>
    </row>
    <row r="61" spans="2:8" x14ac:dyDescent="0.45">
      <c r="G61" s="23" t="s">
        <v>5</v>
      </c>
      <c r="H61" s="22">
        <v>-1.2735722766152699</v>
      </c>
    </row>
    <row r="62" spans="2:8" x14ac:dyDescent="0.45">
      <c r="G62" s="23" t="s">
        <v>24</v>
      </c>
      <c r="H62" s="22">
        <f>H61+SUM(H52:H59)</f>
        <v>17.278256549948509</v>
      </c>
    </row>
    <row r="64" spans="2:8" x14ac:dyDescent="0.45">
      <c r="B64" s="41" t="s">
        <v>30</v>
      </c>
    </row>
    <row r="66" spans="2:8" x14ac:dyDescent="0.45">
      <c r="B66" s="3" t="s">
        <v>11</v>
      </c>
      <c r="C66" s="1" t="s">
        <v>0</v>
      </c>
      <c r="D66" s="3" t="s">
        <v>12</v>
      </c>
      <c r="E66" s="3" t="s">
        <v>13</v>
      </c>
      <c r="F66" s="3" t="s">
        <v>14</v>
      </c>
      <c r="H66" s="3" t="s">
        <v>23</v>
      </c>
    </row>
    <row r="67" spans="2:8" x14ac:dyDescent="0.45">
      <c r="B67" s="2">
        <v>-3.92877566719946</v>
      </c>
      <c r="C67" s="6" t="s">
        <v>2</v>
      </c>
      <c r="D67" s="13">
        <v>7.3925220458553804</v>
      </c>
      <c r="E67" s="14">
        <v>0.543428747220707</v>
      </c>
      <c r="F67" s="2">
        <f>('4 Variables'!D8-Model!D67)/Model!E67</f>
        <v>-0.9799298409936763</v>
      </c>
      <c r="H67" s="7">
        <f>B67*F67</f>
        <v>3.8499245148585914</v>
      </c>
    </row>
    <row r="68" spans="2:8" x14ac:dyDescent="0.45">
      <c r="B68" s="2">
        <v>-2.3906146811097599</v>
      </c>
      <c r="C68" s="4" t="s">
        <v>1</v>
      </c>
      <c r="D68" s="40">
        <v>2.8643209876543199</v>
      </c>
      <c r="E68" s="2">
        <v>3.74850397285811</v>
      </c>
      <c r="F68" s="2">
        <f>('4 Variables'!D100-Model!D68)/Model!E68</f>
        <v>-0.76412377001440657</v>
      </c>
      <c r="H68" s="8">
        <f>B68*F68</f>
        <v>1.826725502781378</v>
      </c>
    </row>
    <row r="69" spans="2:8" x14ac:dyDescent="0.45">
      <c r="B69" s="2">
        <v>-0.91779984271172399</v>
      </c>
      <c r="C69" s="4" t="s">
        <v>3</v>
      </c>
      <c r="D69" s="15">
        <v>0.456772486772487</v>
      </c>
      <c r="E69" s="2">
        <v>0.91623105922112802</v>
      </c>
      <c r="F69" s="2">
        <f>('4 Variables'!D12-Model!D69)/Model!E69</f>
        <v>-0.38939139115822269</v>
      </c>
      <c r="H69" s="8">
        <f t="shared" ref="H69:H70" si="4">B69*F69</f>
        <v>0.35738335755831618</v>
      </c>
    </row>
    <row r="70" spans="2:8" x14ac:dyDescent="0.45">
      <c r="B70" s="2">
        <v>-1.85316290930904</v>
      </c>
      <c r="C70" s="4" t="s">
        <v>6</v>
      </c>
      <c r="D70" s="15">
        <v>26.5241622574956</v>
      </c>
      <c r="E70" s="2">
        <v>0.72198894532019597</v>
      </c>
      <c r="F70" s="2">
        <f>('4 Variables'!D14-Model!D70)/Model!E70</f>
        <v>-1.9725541045008592</v>
      </c>
      <c r="H70" s="8">
        <f t="shared" si="4"/>
        <v>3.6554641030663007</v>
      </c>
    </row>
    <row r="71" spans="2:8" x14ac:dyDescent="0.45">
      <c r="B71" s="2"/>
      <c r="C71" s="4"/>
      <c r="D71" s="15"/>
      <c r="E71" s="2"/>
      <c r="F71" s="2"/>
      <c r="H71" s="8"/>
    </row>
    <row r="72" spans="2:8" x14ac:dyDescent="0.45">
      <c r="B72" s="2"/>
      <c r="C72" s="4"/>
      <c r="D72" s="15"/>
      <c r="E72" s="2"/>
      <c r="F72" s="2"/>
      <c r="H72" s="8"/>
    </row>
    <row r="73" spans="2:8" x14ac:dyDescent="0.45">
      <c r="B73" s="2"/>
      <c r="C73" s="4"/>
      <c r="D73" s="15"/>
      <c r="E73" s="2"/>
      <c r="F73" s="2"/>
      <c r="H73" s="8"/>
    </row>
    <row r="74" spans="2:8" x14ac:dyDescent="0.45">
      <c r="B74" s="12"/>
      <c r="C74" s="5"/>
      <c r="D74" s="16"/>
      <c r="E74" s="12"/>
      <c r="F74" s="12"/>
      <c r="H74" s="9"/>
    </row>
    <row r="76" spans="2:8" x14ac:dyDescent="0.45">
      <c r="G76" s="23" t="s">
        <v>5</v>
      </c>
      <c r="H76" s="22">
        <v>-1.4589935073993101</v>
      </c>
    </row>
    <row r="77" spans="2:8" x14ac:dyDescent="0.45">
      <c r="G77" s="23" t="s">
        <v>24</v>
      </c>
      <c r="H77" s="22">
        <f>H76+SUM(H67:H74)</f>
        <v>8.2305039708652767</v>
      </c>
    </row>
    <row r="79" spans="2:8" x14ac:dyDescent="0.45">
      <c r="B79" s="41" t="s">
        <v>31</v>
      </c>
    </row>
    <row r="81" spans="2:8" x14ac:dyDescent="0.45">
      <c r="B81" s="3" t="s">
        <v>11</v>
      </c>
      <c r="C81" s="1" t="s">
        <v>0</v>
      </c>
      <c r="D81" s="3" t="s">
        <v>12</v>
      </c>
      <c r="E81" s="3" t="s">
        <v>13</v>
      </c>
      <c r="F81" s="3" t="s">
        <v>14</v>
      </c>
      <c r="H81" s="3" t="s">
        <v>23</v>
      </c>
    </row>
    <row r="82" spans="2:8" x14ac:dyDescent="0.45">
      <c r="B82" s="2">
        <v>-4.2890857009337298</v>
      </c>
      <c r="C82" s="6" t="s">
        <v>2</v>
      </c>
      <c r="D82" s="13">
        <v>7.3925220458553804</v>
      </c>
      <c r="E82" s="14">
        <v>0.543428747220707</v>
      </c>
      <c r="F82" s="2">
        <f>('3 Variables'!D8-Model!D82)/Model!E82</f>
        <v>-0.24386278152038654</v>
      </c>
      <c r="H82" s="7">
        <f>B82*F82</f>
        <v>1.0459483692090161</v>
      </c>
    </row>
    <row r="83" spans="2:8" x14ac:dyDescent="0.45">
      <c r="B83" s="2">
        <v>-3.63760227676309</v>
      </c>
      <c r="C83" s="4" t="s">
        <v>1</v>
      </c>
      <c r="D83" s="40">
        <v>2.8643209876543199</v>
      </c>
      <c r="E83" s="2">
        <v>3.74850397285811</v>
      </c>
      <c r="F83" s="2">
        <f>('3 Variables'!D10-Model!D83)/Model!E83</f>
        <v>-0.68942730389688267</v>
      </c>
      <c r="H83" s="8">
        <f>B83*F83</f>
        <v>2.507862330317939</v>
      </c>
    </row>
    <row r="84" spans="2:8" x14ac:dyDescent="0.45">
      <c r="B84" s="2">
        <v>-0.64666076629045099</v>
      </c>
      <c r="C84" s="4" t="s">
        <v>3</v>
      </c>
      <c r="D84" s="15">
        <v>0.456772486772487</v>
      </c>
      <c r="E84" s="2">
        <v>0.91623105922112802</v>
      </c>
      <c r="F84" s="2">
        <f>('3 Variables'!D12-Model!D84)/Model!E84</f>
        <v>-0.40030566862061395</v>
      </c>
      <c r="H84" s="8">
        <f t="shared" ref="H84" si="5">B84*F84</f>
        <v>0.25886197042061754</v>
      </c>
    </row>
    <row r="85" spans="2:8" x14ac:dyDescent="0.45">
      <c r="B85" s="2"/>
      <c r="C85" s="4"/>
      <c r="D85" s="15"/>
      <c r="E85" s="2"/>
      <c r="F85" s="2"/>
      <c r="H85" s="8"/>
    </row>
    <row r="86" spans="2:8" x14ac:dyDescent="0.45">
      <c r="B86" s="2"/>
      <c r="C86" s="4"/>
      <c r="D86" s="15"/>
      <c r="E86" s="2"/>
      <c r="F86" s="2"/>
      <c r="H86" s="8"/>
    </row>
    <row r="87" spans="2:8" x14ac:dyDescent="0.45">
      <c r="B87" s="2"/>
      <c r="C87" s="4"/>
      <c r="D87" s="15"/>
      <c r="E87" s="2"/>
      <c r="F87" s="2"/>
      <c r="H87" s="8"/>
    </row>
    <row r="88" spans="2:8" x14ac:dyDescent="0.45">
      <c r="B88" s="2"/>
      <c r="C88" s="4"/>
      <c r="D88" s="15"/>
      <c r="E88" s="2"/>
      <c r="F88" s="2"/>
      <c r="H88" s="8"/>
    </row>
    <row r="89" spans="2:8" x14ac:dyDescent="0.45">
      <c r="B89" s="12"/>
      <c r="C89" s="5"/>
      <c r="D89" s="16"/>
      <c r="E89" s="12"/>
      <c r="F89" s="12"/>
      <c r="H89" s="9"/>
    </row>
    <row r="91" spans="2:8" x14ac:dyDescent="0.45">
      <c r="G91" s="23" t="s">
        <v>5</v>
      </c>
      <c r="H91" s="22">
        <v>-1.3040015333767301</v>
      </c>
    </row>
    <row r="92" spans="2:8" x14ac:dyDescent="0.45">
      <c r="G92" s="23" t="s">
        <v>24</v>
      </c>
      <c r="H92" s="22">
        <f>H91+SUM(H82:H89)</f>
        <v>2.5086711365708423</v>
      </c>
    </row>
    <row r="94" spans="2:8" x14ac:dyDescent="0.45">
      <c r="B94" s="41" t="s">
        <v>32</v>
      </c>
    </row>
    <row r="96" spans="2:8" x14ac:dyDescent="0.45">
      <c r="B96" s="3" t="s">
        <v>11</v>
      </c>
      <c r="C96" s="1" t="s">
        <v>0</v>
      </c>
      <c r="D96" s="3" t="s">
        <v>12</v>
      </c>
      <c r="E96" s="3" t="s">
        <v>13</v>
      </c>
      <c r="F96" s="3" t="s">
        <v>14</v>
      </c>
      <c r="H96" s="3" t="s">
        <v>23</v>
      </c>
    </row>
    <row r="97" spans="2:8" x14ac:dyDescent="0.45">
      <c r="B97" s="2">
        <v>-4.4308263898587796</v>
      </c>
      <c r="C97" s="6" t="s">
        <v>2</v>
      </c>
      <c r="D97" s="13">
        <v>7.3925220458553804</v>
      </c>
      <c r="E97" s="14">
        <v>0.543428747220707</v>
      </c>
      <c r="F97" s="2">
        <f>('2 Variables'!D8-Model!D97)/Model!E97</f>
        <v>6.8965718755761879E-2</v>
      </c>
      <c r="H97" s="7">
        <f>B97*F97</f>
        <v>-0.30557512665860831</v>
      </c>
    </row>
    <row r="98" spans="2:8" x14ac:dyDescent="0.45">
      <c r="B98" s="2">
        <v>-3.5769780907169499</v>
      </c>
      <c r="C98" s="4" t="s">
        <v>1</v>
      </c>
      <c r="D98" s="40">
        <v>2.8643209876543199</v>
      </c>
      <c r="E98" s="2">
        <v>3.74850397285811</v>
      </c>
      <c r="F98" s="2">
        <f>('2 Variables'!D10-Model!D98)/Model!E98</f>
        <v>-0.71610461322456964</v>
      </c>
      <c r="H98" s="8">
        <f>B98*F98</f>
        <v>2.5614905121656211</v>
      </c>
    </row>
    <row r="99" spans="2:8" x14ac:dyDescent="0.45">
      <c r="B99" s="2"/>
      <c r="C99" s="4"/>
      <c r="D99" s="15"/>
      <c r="E99" s="2"/>
      <c r="F99" s="2"/>
      <c r="H99" s="8"/>
    </row>
    <row r="100" spans="2:8" x14ac:dyDescent="0.45">
      <c r="B100" s="2"/>
      <c r="C100" s="4"/>
      <c r="D100" s="15"/>
      <c r="E100" s="2"/>
      <c r="F100" s="2"/>
      <c r="H100" s="8"/>
    </row>
    <row r="101" spans="2:8" x14ac:dyDescent="0.45">
      <c r="B101" s="2"/>
      <c r="C101" s="4"/>
      <c r="D101" s="15"/>
      <c r="E101" s="2"/>
      <c r="F101" s="2"/>
      <c r="H101" s="8"/>
    </row>
    <row r="102" spans="2:8" x14ac:dyDescent="0.45">
      <c r="B102" s="2"/>
      <c r="C102" s="4"/>
      <c r="D102" s="15"/>
      <c r="E102" s="2"/>
      <c r="F102" s="2"/>
      <c r="H102" s="8"/>
    </row>
    <row r="103" spans="2:8" x14ac:dyDescent="0.45">
      <c r="B103" s="2"/>
      <c r="C103" s="4"/>
      <c r="D103" s="15"/>
      <c r="E103" s="2"/>
      <c r="F103" s="2"/>
      <c r="H103" s="8"/>
    </row>
    <row r="104" spans="2:8" x14ac:dyDescent="0.45">
      <c r="B104" s="12"/>
      <c r="C104" s="5"/>
      <c r="D104" s="16"/>
      <c r="E104" s="12"/>
      <c r="F104" s="12"/>
      <c r="H104" s="9"/>
    </row>
    <row r="106" spans="2:8" x14ac:dyDescent="0.45">
      <c r="G106" s="23" t="s">
        <v>5</v>
      </c>
      <c r="H106" s="22">
        <v>-1.1192140045251999</v>
      </c>
    </row>
    <row r="107" spans="2:8" x14ac:dyDescent="0.45">
      <c r="G107" s="23" t="s">
        <v>24</v>
      </c>
      <c r="H107" s="22">
        <f>H106+SUM(H97:H104)</f>
        <v>1.1367013809818129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555B96D-266A-4D6D-9DED-9026716EFA7F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8 Variables</vt:lpstr>
      <vt:lpstr>7 Variables</vt:lpstr>
      <vt:lpstr>6 Variables</vt:lpstr>
      <vt:lpstr>5 Variables</vt:lpstr>
      <vt:lpstr>4 Variables</vt:lpstr>
      <vt:lpstr>3 Variables</vt:lpstr>
      <vt:lpstr>2 Variables</vt:lpstr>
      <vt:lpstr>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JR Ocampo</dc:creator>
  <cp:lastModifiedBy>JR Ocampo</cp:lastModifiedBy>
  <dcterms:created xsi:type="dcterms:W3CDTF">2026-05-12T09:09:06Z</dcterms:created>
  <dcterms:modified xsi:type="dcterms:W3CDTF">2026-05-24T17:37:50Z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lanSwiftJobName">
    <vt:lpwstr/>
  </property>
  <property fmtid="{D5CDD505-2E9C-101B-9397-08002B2CF9AE}" pid="3" name="PlanSwiftJobGuid">
    <vt:lpwstr/>
  </property>
  <property fmtid="{D5CDD505-2E9C-101B-9397-08002B2CF9AE}" pid="4" name="LinkedDataId">
    <vt:lpwstr>{2555B96D-266A-4D6D-9DED-9026716EFA7F}</vt:lpwstr>
  </property>
</Properties>
</file>